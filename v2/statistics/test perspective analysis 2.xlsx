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ummer2026\SWT301\ResearchFinal\v2\statistics\"/>
    </mc:Choice>
  </mc:AlternateContent>
  <xr:revisionPtr revIDLastSave="0" documentId="13_ncr:1_{9951EE57-6A94-4A79-888F-7AAA53C0A940}" xr6:coauthVersionLast="47" xr6:coauthVersionMax="47" xr10:uidLastSave="{00000000-0000-0000-0000-000000000000}"/>
  <bookViews>
    <workbookView xWindow="-108" yWindow="-108" windowWidth="23256" windowHeight="12456" tabRatio="550" xr2:uid="{00000000-000D-0000-FFFF-FFFF00000000}"/>
  </bookViews>
  <sheets>
    <sheet name="Password strength checker" sheetId="1" r:id="rId1"/>
    <sheet name="Unit converter" sheetId="2" r:id="rId2"/>
    <sheet name="Budget planner" sheetId="3" r:id="rId3"/>
    <sheet name="Library fine calculator" sheetId="6" r:id="rId4"/>
    <sheet name="Task manager" sheetId="5" r:id="rId5"/>
    <sheet name="minutes for manual test design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4" l="1"/>
  <c r="E5" i="4"/>
  <c r="D5" i="4"/>
  <c r="C5" i="4"/>
  <c r="B5" i="4"/>
  <c r="F4" i="4"/>
  <c r="F3" i="4"/>
  <c r="F2" i="4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<sst xmlns="http://schemas.openxmlformats.org/spreadsheetml/2006/main" count="1421" uniqueCount="391">
  <si>
    <t>Category</t>
  </si>
  <si>
    <t>Test viewpoint</t>
  </si>
  <si>
    <t>Num. Test case</t>
  </si>
  <si>
    <t xml:space="preserve">Sonnet 4.6 </t>
  </si>
  <si>
    <t>Num. Test Case</t>
  </si>
  <si>
    <t xml:space="preserve">Gemini 3.1 </t>
  </si>
  <si>
    <t>Effective viewpoint?</t>
  </si>
  <si>
    <t>A</t>
  </si>
  <si>
    <t>B</t>
  </si>
  <si>
    <t>C</t>
  </si>
  <si>
    <t>D</t>
  </si>
  <si>
    <t>Basic Viewpoint: Very Weak judgment</t>
  </si>
  <si>
    <t>7 characters or fewer &amp; 1 type of character</t>
  </si>
  <si>
    <t>6, 7, 42, 43</t>
  </si>
  <si>
    <t>OK</t>
  </si>
  <si>
    <t>7 characters or fewer &amp; 2 or more types of characters</t>
  </si>
  <si>
    <t>5, 8, 47</t>
  </si>
  <si>
    <t>8 characters or more &amp; 1 type of character</t>
  </si>
  <si>
    <t>1, 2, 3, 4, 51</t>
  </si>
  <si>
    <t>Basic Viewpoint: Weak judgment</t>
  </si>
  <si>
    <t>8,9 characters &amp; 2 or 3 types of characters (excluding symbols)</t>
  </si>
  <si>
    <t>9, 10, 11, 12, 13</t>
  </si>
  <si>
    <t>8,9 characters &amp; 2 or more types of characters including symbols</t>
  </si>
  <si>
    <t>14, 15, 44, 52</t>
  </si>
  <si>
    <t>10 characters or more &amp; 2 or 3 types of characters (excluding symbols)</t>
  </si>
  <si>
    <t xml:space="preserve">20, 21, 33, 50, </t>
  </si>
  <si>
    <t>Basic Viewpoint: Medium judgment</t>
  </si>
  <si>
    <t>10,11 characters &amp; 2 types of characters including symbols</t>
  </si>
  <si>
    <t>16, 17, 18, 19, 48</t>
  </si>
  <si>
    <t>10,11 characters &amp; 3 or more types of characters including symbols</t>
  </si>
  <si>
    <t xml:space="preserve">45, 46, 53, </t>
  </si>
  <si>
    <t>12 characters or more &amp; 2 types of characters including symbols</t>
  </si>
  <si>
    <t>22, 39, 40, 41</t>
  </si>
  <si>
    <t>Basic Viewpoint: Strong judgment</t>
  </si>
  <si>
    <t>12~15 characters &amp; 3 types of characters including symbols</t>
  </si>
  <si>
    <t>23, 24, 25 26, 27, 49, 55</t>
  </si>
  <si>
    <t>12~15 characters &amp; 4 types of characters</t>
  </si>
  <si>
    <t>28, 29, 32</t>
  </si>
  <si>
    <t>16 characters or more &amp; 3 types of characters including symbols</t>
  </si>
  <si>
    <t>Basic Viewpoint: Very Strong judgment</t>
  </si>
  <si>
    <t>16 characters or more &amp; 4 types of characters</t>
  </si>
  <si>
    <t>Boundary Value</t>
  </si>
  <si>
    <t>String length boundary values (excluding minimum and maximum lengths)</t>
  </si>
  <si>
    <t>Minimum &amp; Maximum</t>
  </si>
  <si>
    <t>Minimum length (1)</t>
  </si>
  <si>
    <t>Maximum length (100)</t>
  </si>
  <si>
    <t>Character Type Combinations</t>
  </si>
  <si>
    <t>4 ways to choose 1 type of character</t>
  </si>
  <si>
    <t>1,2,3,4</t>
  </si>
  <si>
    <t>6,7,8,9</t>
  </si>
  <si>
    <t>3 combinations of 2 types of characters excluding symbols</t>
  </si>
  <si>
    <t>9,10,11</t>
  </si>
  <si>
    <t>17,18,22</t>
  </si>
  <si>
    <t>3 combinations of 2 types of characters including symbols</t>
  </si>
  <si>
    <t>14,44,52</t>
  </si>
  <si>
    <t>11,23,30</t>
  </si>
  <si>
    <t>3 combinations of 3 types of characters including symbols</t>
  </si>
  <si>
    <t>23,24,25</t>
  </si>
  <si>
    <t>31,38,39</t>
  </si>
  <si>
    <t>Inappropriate Strings</t>
  </si>
  <si>
    <t>Failing by not providing a string</t>
  </si>
  <si>
    <t>Failing by providing multiple strings</t>
  </si>
  <si>
    <t>Failing by providing a string longer than the maximum length</t>
  </si>
  <si>
    <t>Failing by providing disallowed symbols</t>
  </si>
  <si>
    <t>Failing by providing multibyte/unicode characters</t>
  </si>
  <si>
    <t>Including newline characters</t>
  </si>
  <si>
    <t>Others</t>
  </si>
  <si>
    <t>Linux command line “pipe”</t>
  </si>
  <si>
    <t>Repeating the same character</t>
  </si>
  <si>
    <t>Randomly scattering types of characters evenly</t>
  </si>
  <si>
    <t>All kinds of lowercase letters</t>
  </si>
  <si>
    <t>All kinds of uppercase letters</t>
  </si>
  <si>
    <t>All digits</t>
  </si>
  <si>
    <t>Using all symbols</t>
  </si>
  <si>
    <t>Testing the alphabet in reverse order</t>
  </si>
  <si>
    <t>Testing invisible unicode characters</t>
  </si>
  <si>
    <t>Failing by providing spaces at the beginning and end</t>
  </si>
  <si>
    <t>Test Viewpoint</t>
  </si>
  <si>
    <t>Num. Test cases</t>
  </si>
  <si>
    <t>Effective Viewpoint?</t>
  </si>
  <si>
    <t>Gemini 3.1</t>
  </si>
  <si>
    <t>Basic Viewpoint</t>
  </si>
  <si>
    <t>For all units of length, appearing in either source or target and successfully converting</t>
  </si>
  <si>
    <t>1…12, 56</t>
  </si>
  <si>
    <t>1..12</t>
  </si>
  <si>
    <t>For all units of temperature, appearing in either source or target and successfully converting</t>
  </si>
  <si>
    <t>13…18, 57, 58</t>
  </si>
  <si>
    <t>13..18</t>
  </si>
  <si>
    <t>Combination</t>
  </si>
  <si>
    <t>Exhaustive coverage of two-unit combinations for length</t>
  </si>
  <si>
    <t>All units of length appear in both source and target</t>
  </si>
  <si>
    <t>Exhaustive coverage of two-unit combinations for temperature</t>
  </si>
  <si>
    <t>All units of temperature appear in both source and target</t>
  </si>
  <si>
    <t>Unit Error</t>
  </si>
  <si>
    <t>Conversion to a unit from a different category</t>
  </si>
  <si>
    <t>40…42</t>
  </si>
  <si>
    <t>40,41,42</t>
  </si>
  <si>
    <t>Conversion between the same units</t>
  </si>
  <si>
    <t>43…45</t>
  </si>
  <si>
    <t>43,44,45</t>
  </si>
  <si>
    <t>Providing a length unit that is not supported</t>
  </si>
  <si>
    <t>Value Variation (Common)</t>
  </si>
  <si>
    <t>When the pre-conversion value is an integer</t>
  </si>
  <si>
    <t>1,2,3</t>
  </si>
  <si>
    <t>When the pre-conversion value is a decimal</t>
  </si>
  <si>
    <t>5,6</t>
  </si>
  <si>
    <t>Value Error (Common)</t>
  </si>
  <si>
    <t>Providing a value exceeding the maximum value</t>
  </si>
  <si>
    <t>23,22,24</t>
  </si>
  <si>
    <t>22,23,24</t>
  </si>
  <si>
    <t>Providing a value up to the third decimal place</t>
  </si>
  <si>
    <t>37,38,39</t>
  </si>
  <si>
    <t>Providing an invalid character in the pre-conversion value</t>
  </si>
  <si>
    <t>Length Error</t>
  </si>
  <si>
    <t>When the pre-conversion value for length is negative</t>
  </si>
  <si>
    <t>When the pre-conversion value for length is zero</t>
  </si>
  <si>
    <t>Temperature Variation</t>
  </si>
  <si>
    <t>Successful conversion when the pre-conversion value in Celsius/Fahrenheit is zero</t>
  </si>
  <si>
    <t>Successful conversion when the pre-conversion value in Celsius/Fahrenheit is negative</t>
  </si>
  <si>
    <t>Temperature Error</t>
  </si>
  <si>
    <t>When the pre-conversion value in Kelvin is zero</t>
  </si>
  <si>
    <t>When the pre-conversion value in Kelvin is negative</t>
  </si>
  <si>
    <t>Giving a value smaller than the minimum for Celsius/Fahrenheit (resulting in negative Kelvin post-conversion)</t>
  </si>
  <si>
    <t>Argument Format Error</t>
  </si>
  <si>
    <t>When no value is provided</t>
  </si>
  <si>
    <t>When no 'from' is provided</t>
  </si>
  <si>
    <t>When no 'to' is provided</t>
  </si>
  <si>
    <t>When multiple inputs are made for from, value, and to</t>
  </si>
  <si>
    <t>Maximum/Minimum</t>
  </si>
  <si>
    <t>Providing the minimum value for length/Kelvin (0.01)</t>
  </si>
  <si>
    <t>Providing the maximum value (1000)</t>
  </si>
  <si>
    <t>19,20</t>
  </si>
  <si>
    <t>23,24</t>
  </si>
  <si>
    <t>Giving the minimum Celsius value (resulting in 0 Kelvin post-conversion)</t>
  </si>
  <si>
    <t>Giving the minimum Fahrenheit value (resulting in 0 Kelvin post-conversion)</t>
  </si>
  <si>
    <t>Basic Viewpoint: add-income</t>
  </si>
  <si>
    <t>Successfully add an income</t>
  </si>
  <si>
    <t>1, 21,23, 25, 52,56</t>
  </si>
  <si>
    <t>1,3,5,7,9,11</t>
  </si>
  <si>
    <t>Basic Viewpoint: add-expense</t>
  </si>
  <si>
    <t>Successfully add an expense</t>
  </si>
  <si>
    <t>2, 22, 24, 26, 54, 57</t>
  </si>
  <si>
    <t>2,4,6,8,10,12</t>
  </si>
  <si>
    <t>Basic Viewpoint: remove-income</t>
  </si>
  <si>
    <t>Successfully remove an income</t>
  </si>
  <si>
    <t>Basic Viewpoint: remove-expense</t>
  </si>
  <si>
    <t>Successfully remove an expense</t>
  </si>
  <si>
    <t>Basic Viewpoint: list-income</t>
  </si>
  <si>
    <t>Successfully display incomes</t>
  </si>
  <si>
    <t>3, 5, 11, 15, 19</t>
  </si>
  <si>
    <t>35,37,46,49</t>
  </si>
  <si>
    <t>Basic Viewpoint: list-expense</t>
  </si>
  <si>
    <t>Successfully display expenses</t>
  </si>
  <si>
    <t>4, 6, 12, 16, 20</t>
  </si>
  <si>
    <t>36,38,47,50</t>
  </si>
  <si>
    <t>Basic Viewpoint: show-budget</t>
  </si>
  <si>
    <t>Successfully display the budget</t>
  </si>
  <si>
    <t>7…10, 17, 18, 45, 58, 59, 60</t>
  </si>
  <si>
    <t>39…45,48</t>
  </si>
  <si>
    <t>Amount Input</t>
  </si>
  <si>
    <t>Giving 0</t>
  </si>
  <si>
    <t>29, 30</t>
  </si>
  <si>
    <t>13,14</t>
  </si>
  <si>
    <t>Giving a negative number</t>
  </si>
  <si>
    <t>31, 32</t>
  </si>
  <si>
    <t>15,16</t>
  </si>
  <si>
    <t>Not providing an amount</t>
  </si>
  <si>
    <t>48, 49</t>
  </si>
  <si>
    <t>Giving a decimal number</t>
  </si>
  <si>
    <t>35, 36</t>
  </si>
  <si>
    <t>Giving a value exceeding the maximum value</t>
  </si>
  <si>
    <t>33, 34</t>
  </si>
  <si>
    <t>17,18</t>
  </si>
  <si>
    <t>Giving a non-numeric value</t>
  </si>
  <si>
    <t>37, 38</t>
  </si>
  <si>
    <t>21,22</t>
  </si>
  <si>
    <t>Giving a multibyte/Unicode character</t>
  </si>
  <si>
    <t>Giving multiple amounts</t>
  </si>
  <si>
    <t>46,47</t>
  </si>
  <si>
    <t>Source Input</t>
  </si>
  <si>
    <t>Not providing a source</t>
  </si>
  <si>
    <t>Giving an empty string</t>
  </si>
  <si>
    <t>Exceeding the maximum string length</t>
  </si>
  <si>
    <t>Giving a non-string value</t>
  </si>
  <si>
    <t>Including a space</t>
  </si>
  <si>
    <t>1,2</t>
  </si>
  <si>
    <t>Not enclosing in double quotations</t>
  </si>
  <si>
    <t>Giving multiple sources</t>
  </si>
  <si>
    <t>Internal State</t>
  </si>
  <si>
    <t>Exceeding the maximum number of registrations</t>
  </si>
  <si>
    <t>Deleting a non-existent source</t>
  </si>
  <si>
    <t>Displaying when there is no source</t>
  </si>
  <si>
    <t>Registering multiple sources</t>
  </si>
  <si>
    <t>Verifying that deletion is reflected in the state</t>
  </si>
  <si>
    <t>56,44,43</t>
  </si>
  <si>
    <t>49,50</t>
  </si>
  <si>
    <t>Registering with the same name for income or expense</t>
  </si>
  <si>
    <t>27,28</t>
  </si>
  <si>
    <t>28,27</t>
  </si>
  <si>
    <t>Registering an expense source with the same name as an income source (and vice versa)</t>
  </si>
  <si>
    <t>Deleting an income source as an expense (and vice versa)</t>
  </si>
  <si>
    <t>Maximum Value</t>
  </si>
  <si>
    <t>Maximum value for amount</t>
  </si>
  <si>
    <t>Maximum string length</t>
  </si>
  <si>
    <t>Maximum number of registrations</t>
  </si>
  <si>
    <t>53,54</t>
  </si>
  <si>
    <t>Budget Calculation</t>
  </si>
  <si>
    <t>Having both income and expenses</t>
  </si>
  <si>
    <t>Income only</t>
  </si>
  <si>
    <t>Expenses only</t>
  </si>
  <si>
    <t>Having neither income nor expenses</t>
  </si>
  <si>
    <t>Verifying both positive and negative balances</t>
  </si>
  <si>
    <t>42,43</t>
  </si>
  <si>
    <t>Having both income and expenses with the same amount</t>
  </si>
  <si>
    <t>Avg.</t>
  </si>
  <si>
    <t>Password strength checker</t>
  </si>
  <si>
    <t>Unit converter</t>
  </si>
  <si>
    <t>Budget planner</t>
  </si>
  <si>
    <t>Total</t>
  </si>
  <si>
    <t>Sonnet 4.6</t>
  </si>
  <si>
    <t>Functional State and Workflow Behavior</t>
  </si>
  <si>
    <t>Successfully add a task with required fields only</t>
  </si>
  <si>
    <t>Successfully add a task with explicit low, medium, and high priority</t>
  </si>
  <si>
    <t>Verify default priority is medium when --priority is omitted</t>
  </si>
  <si>
    <t>Automatically assign task IDs starting from 1 in creation order</t>
  </si>
  <si>
    <t>Update only the title of an existing task</t>
  </si>
  <si>
    <t>Update only the due date of an existing task</t>
  </si>
  <si>
    <t>Update only the priority of an existing task</t>
  </si>
  <si>
    <t>Update multiple editable fields in one command</t>
  </si>
  <si>
    <t>Update a completed task without changing its done status</t>
  </si>
  <si>
    <t>Complete a todo task and reflect the done status in list output</t>
  </si>
  <si>
    <t>Reopen a done task and reflect the todo status in list output</t>
  </si>
  <si>
    <t>Delete todo and done tasks and verify they disappear from list and summary</t>
  </si>
  <si>
    <t>Verify deleted task IDs are not reused after adding a new task</t>
  </si>
  <si>
    <t>List all tasks, only todo tasks, and only done tasks</t>
  </si>
  <si>
    <t>Sort tasks by created order, due date, and priority severity</t>
  </si>
  <si>
    <t>Combine status filtering with sorting</t>
  </si>
  <si>
    <t>Show summary counts after add, complete, reopen, and delete operations</t>
  </si>
  <si>
    <t>Input Validation and Boundary Behavior</t>
  </si>
  <si>
    <t>Reject missing command, unknown command, and unknown option</t>
  </si>
  <si>
    <t>Reject blank title, 0-character title, and title longer than 80 characters</t>
  </si>
  <si>
    <t>Accept minimum and maximum valid title length: 1 and 80 characters</t>
  </si>
  <si>
    <t>Reject title containing characters outside the allowed set</t>
  </si>
  <si>
    <t>Reject invalid due date format and invalid real calendar dates</t>
  </si>
  <si>
    <t>Reject due date year below 2000 and above 2099</t>
  </si>
  <si>
    <t>Reject invalid or case-mismatched priority, status, and sort values</t>
  </si>
  <si>
    <t>Reject invalid ID values: zero, negative, decimal, non-numeric, missing, not found, and deleted</t>
  </si>
  <si>
    <t>Reject completing an already done task and reopening an already todo task</t>
  </si>
  <si>
    <t>Reject update command with no editable field</t>
  </si>
  <si>
    <t>Verify active task limit at 99, 100, and 101 non-deleted tasks</t>
  </si>
  <si>
    <t>Fine Calculation Rules</t>
  </si>
  <si>
    <t>Calculate book overdue fine below the cap for a non-member and not-lost item</t>
  </si>
  <si>
    <t>Calculate dvd overdue fine below the cap for a non-member and not-lost item</t>
  </si>
  <si>
    <t>Apply book overdue fine cap at $20.00</t>
  </si>
  <si>
    <t>Apply dvd overdue fine cap at $30.00</t>
  </si>
  <si>
    <t>Apply 50% member discount to uncapped overdue fine</t>
  </si>
  <si>
    <t>Apply 50% member discount to capped overdue fine</t>
  </si>
  <si>
    <t>Verify member discount does not apply to lost-item replacement fee</t>
  </si>
  <si>
    <t>Add book replacement fee when --lost yes</t>
  </si>
  <si>
    <t>Add dvd replacement fee when --lost yes</t>
  </si>
  <si>
    <t>Calculate combined cap, member discount, and lost fee for book</t>
  </si>
  <si>
    <t>Calculate combined cap, member discount, and lost fee for dvd</t>
  </si>
  <si>
    <t>Return $0.00 when days-late is 0 and item is not lost</t>
  </si>
  <si>
    <t>Return only the replacement fee when days-late is 0 and item is lost</t>
  </si>
  <si>
    <t>Output all successful totals with exactly two decimal places</t>
  </si>
  <si>
    <t>CLI Input Validation</t>
  </si>
  <si>
    <t>Reject missing required option: --type, --days-late, --member, or --lost</t>
  </si>
  <si>
    <t>Reject unknown options and duplicate options</t>
  </si>
  <si>
    <t>Reject invalid item type and case-mismatched type values</t>
  </si>
  <si>
    <t>Accept days-late boundary values 0 and 365</t>
  </si>
  <si>
    <t>Reject days-late below 0 and above 365</t>
  </si>
  <si>
    <t>Reject decimal days-late values</t>
  </si>
  <si>
    <t>Reject non-numeric days-late values</t>
  </si>
  <si>
    <t>Reject invalid member status and case-mismatched member values</t>
  </si>
  <si>
    <t>Reject invalid lost status and case-mismatched lost values</t>
  </si>
  <si>
    <t>Verify each invocation is stateless and unaffected by previous commands</t>
  </si>
  <si>
    <t>ChatGPT 5.5</t>
  </si>
  <si>
    <t>GPT 5.5</t>
  </si>
  <si>
    <t>62,63</t>
  </si>
  <si>
    <t>9,10</t>
  </si>
  <si>
    <t>32,33</t>
  </si>
  <si>
    <t>43,44</t>
  </si>
  <si>
    <t>37,38</t>
  </si>
  <si>
    <t>45..50</t>
  </si>
  <si>
    <t>54,55,</t>
  </si>
  <si>
    <t>25,5</t>
  </si>
  <si>
    <t>56,57 (Chưa đủ BV)</t>
  </si>
  <si>
    <t>16, 15</t>
  </si>
  <si>
    <t>14,15</t>
  </si>
  <si>
    <t>12,13</t>
  </si>
  <si>
    <t>17,35,40</t>
  </si>
  <si>
    <t>8, 50</t>
  </si>
  <si>
    <t>47,48</t>
  </si>
  <si>
    <t>44..47</t>
  </si>
  <si>
    <t>48..52</t>
  </si>
  <si>
    <t>44,45,46,49</t>
  </si>
  <si>
    <t>57,58</t>
  </si>
  <si>
    <t>43, 53</t>
  </si>
  <si>
    <t>47, 46</t>
  </si>
  <si>
    <t>23,29</t>
  </si>
  <si>
    <t>38,39</t>
  </si>
  <si>
    <t>1,22</t>
  </si>
  <si>
    <t>40,41</t>
  </si>
  <si>
    <t>61,62,63</t>
  </si>
  <si>
    <t>1,7</t>
  </si>
  <si>
    <t>64,65</t>
  </si>
  <si>
    <t xml:space="preserve">OK </t>
  </si>
  <si>
    <t>69,70</t>
  </si>
  <si>
    <t>1,24,25,31,32,33,57</t>
  </si>
  <si>
    <t>1…3,51</t>
  </si>
  <si>
    <t>1…4,51</t>
  </si>
  <si>
    <t>2,27,34</t>
  </si>
  <si>
    <t>16…18,52</t>
  </si>
  <si>
    <t>27…29</t>
  </si>
  <si>
    <t>3,4,26,29</t>
  </si>
  <si>
    <t>4…6</t>
  </si>
  <si>
    <t>5…7</t>
  </si>
  <si>
    <t>5,6,28,30</t>
  </si>
  <si>
    <t>19…22</t>
  </si>
  <si>
    <t>30…32</t>
  </si>
  <si>
    <t>7,8,64</t>
  </si>
  <si>
    <t>7,23</t>
  </si>
  <si>
    <t>8…11,33…35</t>
  </si>
  <si>
    <t>9,10,58,60</t>
  </si>
  <si>
    <t>8,9,24</t>
  </si>
  <si>
    <t>12…14,36…38</t>
  </si>
  <si>
    <t>17…22,61,62</t>
  </si>
  <si>
    <t>13…15,28…30</t>
  </si>
  <si>
    <t>21…26,45…50</t>
  </si>
  <si>
    <t>11,13,15,17,19,21,61</t>
  </si>
  <si>
    <t>10…15</t>
  </si>
  <si>
    <t>15…26</t>
  </si>
  <si>
    <t>2, 32, 33,40,41,43,57,58</t>
  </si>
  <si>
    <t>1,5,6,10,11,14,,47,49</t>
  </si>
  <si>
    <t>1,4,34,35,38,44,46,,61,62</t>
  </si>
  <si>
    <t>1, 3</t>
  </si>
  <si>
    <t>2,3,24</t>
  </si>
  <si>
    <t>1,30</t>
  </si>
  <si>
    <t>10,14</t>
  </si>
  <si>
    <t>18,22</t>
  </si>
  <si>
    <t>20,21</t>
  </si>
  <si>
    <t>2,4,6,8,10,12,14</t>
  </si>
  <si>
    <t>34,42,44,46,48</t>
  </si>
  <si>
    <t>35,43,45,47,49</t>
  </si>
  <si>
    <t>33,50…57</t>
  </si>
  <si>
    <t>60,61</t>
  </si>
  <si>
    <t>1…20</t>
  </si>
  <si>
    <t>21…37</t>
  </si>
  <si>
    <t>50,51</t>
  </si>
  <si>
    <t>48,49</t>
  </si>
  <si>
    <t>45,46</t>
  </si>
  <si>
    <t>8…12</t>
  </si>
  <si>
    <t>13…15</t>
  </si>
  <si>
    <t>16,17</t>
  </si>
  <si>
    <t>18…20,35</t>
  </si>
  <si>
    <t>23…25</t>
  </si>
  <si>
    <t>26…28</t>
  </si>
  <si>
    <t>8,9,10,11</t>
  </si>
  <si>
    <t>13,14,15</t>
  </si>
  <si>
    <t>16,21,22</t>
  </si>
  <si>
    <t>14,60</t>
  </si>
  <si>
    <t>6,23</t>
  </si>
  <si>
    <t>9,57</t>
  </si>
  <si>
    <t>16,62</t>
  </si>
  <si>
    <t>23,24,60</t>
  </si>
  <si>
    <t>11,27</t>
  </si>
  <si>
    <t>12,14,16</t>
  </si>
  <si>
    <t>19,61</t>
  </si>
  <si>
    <t>12,14,15</t>
  </si>
  <si>
    <t>20,62</t>
  </si>
  <si>
    <t>1,16</t>
  </si>
  <si>
    <t>10,25</t>
  </si>
  <si>
    <t>35,36,37</t>
  </si>
  <si>
    <t>31,48</t>
  </si>
  <si>
    <t>52,53,54</t>
  </si>
  <si>
    <t>56,57</t>
  </si>
  <si>
    <t>3, 5</t>
  </si>
  <si>
    <t>69, 70</t>
  </si>
  <si>
    <t>16, 17, 18</t>
  </si>
  <si>
    <t>51,52,53</t>
  </si>
  <si>
    <t>32,35,34</t>
  </si>
  <si>
    <t>7,8,9,10</t>
  </si>
  <si>
    <t>36,37</t>
  </si>
  <si>
    <t>42,45</t>
  </si>
  <si>
    <t>9,7</t>
  </si>
  <si>
    <t>39,42</t>
  </si>
  <si>
    <t>37,33,36</t>
  </si>
  <si>
    <t>34,35</t>
  </si>
  <si>
    <t>Verify leap-year boundary dates, including valid 2000-02-29</t>
  </si>
  <si>
    <t>45,47</t>
  </si>
  <si>
    <t>ChatGPT 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</si>
</sst>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sz val="11"/>
      <color rgb="FFFF0000"/>
      <name val="Calibri"/>
    </font>
    <font>
      <sz val="11"/>
      <color theme="4"/>
      <name val="Calibri"/>
    </font>
    <font>
      <sz val="11"/>
      <color theme="9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4" fillId="0" borderId="2" xfId="0" applyNumberFormat="1" applyFont="1" applyFill="1" applyBorder="1" applyAlignment="1">
      <alignment horizontal="left" vertical="center" wrapText="1"/>
    </xf>
    <xf numFmtId="0" fontId="4" fillId="5" borderId="2" xfId="0" applyNumberFormat="1" applyFont="1" applyFill="1" applyBorder="1" applyAlignment="1">
      <alignment horizontal="left" vertical="center" wrapText="1"/>
    </xf>
    <xf numFmtId="0" fontId="4" fillId="6" borderId="2" xfId="0" applyNumberFormat="1" applyFont="1" applyFill="1" applyBorder="1" applyAlignment="1">
      <alignment horizontal="left" vertical="center" wrapText="1"/>
    </xf>
    <xf numFmtId="0" fontId="4" fillId="7" borderId="2" xfId="0" applyNumberFormat="1" applyFont="1" applyFill="1" applyBorder="1" applyAlignment="1">
      <alignment horizontal="left" vertical="center" wrapText="1"/>
    </xf>
    <xf numFmtId="0" fontId="0" fillId="8" borderId="2" xfId="0" applyNumberFormat="1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0" fillId="0" borderId="2" xfId="0" applyNumberFormat="1" applyFont="1" applyFill="1" applyBorder="1" applyAlignment="1">
      <alignment horizontal="left" vertical="center" wrapText="1"/>
    </xf>
    <xf numFmtId="0" fontId="0" fillId="9" borderId="2" xfId="0" applyNumberFormat="1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0" fontId="0" fillId="7" borderId="2" xfId="0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/>
    </xf>
    <xf numFmtId="0" fontId="0" fillId="10" borderId="2" xfId="0" applyNumberFormat="1" applyFont="1" applyFill="1" applyBorder="1" applyAlignment="1">
      <alignment horizontal="left" vertical="center" wrapText="1"/>
    </xf>
    <xf numFmtId="0" fontId="5" fillId="5" borderId="2" xfId="0" applyNumberFormat="1" applyFont="1" applyFill="1" applyBorder="1" applyAlignment="1">
      <alignment horizontal="left" vertical="center" wrapText="1"/>
    </xf>
    <xf numFmtId="0" fontId="0" fillId="5" borderId="2" xfId="0" applyNumberFormat="1" applyFont="1" applyFill="1" applyBorder="1" applyAlignment="1">
      <alignment horizontal="left" vertical="center" wrapText="1"/>
    </xf>
    <xf numFmtId="0" fontId="0" fillId="6" borderId="2" xfId="0" applyNumberFormat="1" applyFont="1" applyFill="1" applyBorder="1" applyAlignment="1">
      <alignment horizontal="left" vertical="center" wrapText="1"/>
    </xf>
    <xf numFmtId="0" fontId="0" fillId="7" borderId="2" xfId="0" applyNumberFormat="1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0" fillId="11" borderId="2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4" borderId="0" xfId="0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Fill="1" applyAlignment="1">
      <alignment horizontal="left" vertical="center"/>
    </xf>
    <xf numFmtId="16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6" borderId="2" xfId="0" applyNumberFormat="1" applyFont="1" applyFill="1" applyBorder="1" applyAlignment="1">
      <alignment horizontal="left" vertical="center" wrapText="1"/>
    </xf>
    <xf numFmtId="0" fontId="5" fillId="7" borderId="2" xfId="0" applyNumberFormat="1" applyFont="1" applyFill="1" applyBorder="1" applyAlignment="1">
      <alignment horizontal="left" vertical="center" wrapText="1"/>
    </xf>
    <xf numFmtId="0" fontId="5" fillId="10" borderId="2" xfId="0" applyNumberFormat="1" applyFont="1" applyFill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>
      <alignment vertical="center"/>
    </xf>
    <xf numFmtId="0" fontId="0" fillId="0" borderId="2" xfId="0" applyBorder="1">
      <alignment vertical="center"/>
    </xf>
    <xf numFmtId="0" fontId="4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32"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topLeftCell="C1" workbookViewId="0">
      <selection activeCell="J2" sqref="J2"/>
    </sheetView>
  </sheetViews>
  <sheetFormatPr defaultRowHeight="14.4" x14ac:dyDescent="0.3"/>
  <cols>
    <col min="1" max="1" width="37.44140625" customWidth="1"/>
    <col min="2" max="2" width="66.109375" customWidth="1"/>
    <col min="3" max="3" width="13.5546875" customWidth="1"/>
    <col min="4" max="4" width="11" customWidth="1"/>
    <col min="5" max="5" width="16" customWidth="1"/>
    <col min="6" max="6" width="23.77734375" customWidth="1"/>
    <col min="7" max="7" width="27.109375" customWidth="1"/>
    <col min="8" max="8" width="28.33203125" customWidth="1"/>
    <col min="9" max="9" width="19.6640625" customWidth="1"/>
    <col min="10" max="10" width="32.21875" customWidth="1"/>
    <col min="11" max="14" width="4.109375" customWidth="1"/>
    <col min="15" max="15" width="21.33203125" customWidth="1"/>
  </cols>
  <sheetData>
    <row r="1" spans="1:15" x14ac:dyDescent="0.3">
      <c r="A1" s="30" t="s">
        <v>0</v>
      </c>
      <c r="B1" s="30" t="s">
        <v>1</v>
      </c>
      <c r="C1" s="30" t="s">
        <v>78</v>
      </c>
      <c r="D1" s="30" t="s">
        <v>277</v>
      </c>
      <c r="E1" s="30" t="s">
        <v>2</v>
      </c>
      <c r="F1" s="30" t="s">
        <v>3</v>
      </c>
      <c r="G1" s="30" t="s">
        <v>4</v>
      </c>
      <c r="H1" s="30" t="s">
        <v>5</v>
      </c>
      <c r="I1" s="30" t="s">
        <v>6</v>
      </c>
      <c r="J1" s="30" t="s">
        <v>390</v>
      </c>
      <c r="K1" s="30" t="s">
        <v>7</v>
      </c>
      <c r="L1" s="30" t="s">
        <v>8</v>
      </c>
      <c r="M1" s="30" t="s">
        <v>9</v>
      </c>
      <c r="N1" s="30" t="s">
        <v>10</v>
      </c>
      <c r="O1" s="30" t="s">
        <v>6</v>
      </c>
    </row>
    <row r="2" spans="1:15" x14ac:dyDescent="0.3">
      <c r="A2" s="41" t="s">
        <v>11</v>
      </c>
      <c r="B2" s="41" t="s">
        <v>12</v>
      </c>
      <c r="C2" s="32">
        <v>6</v>
      </c>
      <c r="D2" s="32" t="s">
        <v>14</v>
      </c>
      <c r="E2" s="30" t="s">
        <v>13</v>
      </c>
      <c r="F2" s="30" t="s">
        <v>14</v>
      </c>
      <c r="G2" s="30">
        <v>5</v>
      </c>
      <c r="H2" s="30" t="s">
        <v>14</v>
      </c>
      <c r="I2" s="30"/>
      <c r="J2" s="30" t="s">
        <v>14</v>
      </c>
      <c r="K2" s="30" t="s">
        <v>14</v>
      </c>
      <c r="L2" s="30" t="s">
        <v>14</v>
      </c>
      <c r="M2" s="30" t="s">
        <v>14</v>
      </c>
      <c r="N2" s="30"/>
      <c r="O2" s="30" t="b">
        <f>COUNTIF(J2:N2,"&lt;&gt;")&gt;1</f>
        <v>1</v>
      </c>
    </row>
    <row r="3" spans="1:15" x14ac:dyDescent="0.3">
      <c r="A3" s="41" t="s">
        <v>11</v>
      </c>
      <c r="B3" s="41" t="s">
        <v>15</v>
      </c>
      <c r="C3" s="32">
        <v>7</v>
      </c>
      <c r="D3" s="32" t="s">
        <v>14</v>
      </c>
      <c r="E3" s="30" t="s">
        <v>16</v>
      </c>
      <c r="F3" s="30" t="s">
        <v>14</v>
      </c>
      <c r="G3" s="30">
        <v>10</v>
      </c>
      <c r="H3" s="30" t="s">
        <v>14</v>
      </c>
      <c r="I3" s="30"/>
      <c r="J3" s="30"/>
      <c r="K3" s="30" t="s">
        <v>14</v>
      </c>
      <c r="L3" s="30" t="s">
        <v>14</v>
      </c>
      <c r="M3" s="30"/>
      <c r="N3" s="30" t="s">
        <v>14</v>
      </c>
      <c r="O3" s="30" t="b">
        <f t="shared" ref="O3:O36" si="0">COUNTIF(J3:N3,"&lt;&gt;")&gt;1</f>
        <v>1</v>
      </c>
    </row>
    <row r="4" spans="1:15" x14ac:dyDescent="0.3">
      <c r="A4" s="41" t="s">
        <v>11</v>
      </c>
      <c r="B4" s="41" t="s">
        <v>17</v>
      </c>
      <c r="C4" s="32" t="s">
        <v>351</v>
      </c>
      <c r="D4" s="32" t="s">
        <v>14</v>
      </c>
      <c r="E4" s="30" t="s">
        <v>18</v>
      </c>
      <c r="F4" s="30" t="s">
        <v>14</v>
      </c>
      <c r="G4" s="30">
        <v>14</v>
      </c>
      <c r="H4" s="30" t="s">
        <v>14</v>
      </c>
      <c r="I4" s="30"/>
      <c r="J4" s="30" t="s">
        <v>14</v>
      </c>
      <c r="K4" s="30" t="s">
        <v>14</v>
      </c>
      <c r="L4" s="30" t="s">
        <v>14</v>
      </c>
      <c r="M4" s="30" t="s">
        <v>14</v>
      </c>
      <c r="N4" s="30" t="s">
        <v>14</v>
      </c>
      <c r="O4" s="30" t="b">
        <f t="shared" si="0"/>
        <v>1</v>
      </c>
    </row>
    <row r="5" spans="1:15" x14ac:dyDescent="0.3">
      <c r="A5" s="41" t="s">
        <v>19</v>
      </c>
      <c r="B5" s="41" t="s">
        <v>20</v>
      </c>
      <c r="C5" s="32" t="s">
        <v>352</v>
      </c>
      <c r="D5" s="32" t="s">
        <v>14</v>
      </c>
      <c r="E5" s="30" t="s">
        <v>21</v>
      </c>
      <c r="F5" s="30" t="s">
        <v>14</v>
      </c>
      <c r="G5" s="30">
        <v>17</v>
      </c>
      <c r="H5" s="30" t="s">
        <v>14</v>
      </c>
      <c r="I5" s="30"/>
      <c r="J5" s="30" t="s">
        <v>14</v>
      </c>
      <c r="K5" s="30" t="s">
        <v>14</v>
      </c>
      <c r="L5" s="30" t="s">
        <v>14</v>
      </c>
      <c r="M5" s="30" t="s">
        <v>14</v>
      </c>
      <c r="N5" s="30" t="s">
        <v>14</v>
      </c>
      <c r="O5" s="30" t="b">
        <f t="shared" si="0"/>
        <v>1</v>
      </c>
    </row>
    <row r="6" spans="1:15" x14ac:dyDescent="0.3">
      <c r="A6" s="41" t="s">
        <v>19</v>
      </c>
      <c r="B6" s="41" t="s">
        <v>22</v>
      </c>
      <c r="C6" s="32" t="s">
        <v>353</v>
      </c>
      <c r="D6" s="32" t="s">
        <v>14</v>
      </c>
      <c r="E6" s="30" t="s">
        <v>23</v>
      </c>
      <c r="F6" s="30" t="s">
        <v>14</v>
      </c>
      <c r="G6" s="30">
        <v>24</v>
      </c>
      <c r="H6" s="30" t="s">
        <v>14</v>
      </c>
      <c r="I6" s="30"/>
      <c r="J6" s="30" t="s">
        <v>14</v>
      </c>
      <c r="K6" s="30"/>
      <c r="L6" s="30" t="s">
        <v>14</v>
      </c>
      <c r="M6" s="30" t="s">
        <v>14</v>
      </c>
      <c r="N6" s="30" t="s">
        <v>14</v>
      </c>
      <c r="O6" s="30" t="b">
        <f t="shared" si="0"/>
        <v>1</v>
      </c>
    </row>
    <row r="7" spans="1:15" x14ac:dyDescent="0.3">
      <c r="A7" s="41" t="s">
        <v>19</v>
      </c>
      <c r="B7" s="41" t="s">
        <v>24</v>
      </c>
      <c r="C7" s="32" t="s">
        <v>354</v>
      </c>
      <c r="D7" s="32" t="s">
        <v>14</v>
      </c>
      <c r="E7" s="30" t="s">
        <v>25</v>
      </c>
      <c r="F7" s="30" t="s">
        <v>14</v>
      </c>
      <c r="G7" s="30">
        <v>25</v>
      </c>
      <c r="H7" s="30" t="s">
        <v>14</v>
      </c>
      <c r="I7" s="30"/>
      <c r="J7" s="30" t="s">
        <v>14</v>
      </c>
      <c r="K7" s="30" t="s">
        <v>14</v>
      </c>
      <c r="L7" s="30" t="s">
        <v>14</v>
      </c>
      <c r="M7" s="30" t="s">
        <v>14</v>
      </c>
      <c r="N7" s="30" t="s">
        <v>14</v>
      </c>
      <c r="O7" s="30" t="b">
        <f t="shared" si="0"/>
        <v>1</v>
      </c>
    </row>
    <row r="8" spans="1:15" x14ac:dyDescent="0.3">
      <c r="A8" s="41" t="s">
        <v>26</v>
      </c>
      <c r="B8" s="41" t="s">
        <v>27</v>
      </c>
      <c r="C8" s="32" t="s">
        <v>175</v>
      </c>
      <c r="D8" s="32" t="s">
        <v>14</v>
      </c>
      <c r="E8" s="30" t="s">
        <v>28</v>
      </c>
      <c r="F8" s="30" t="s">
        <v>14</v>
      </c>
      <c r="G8" s="30">
        <v>28</v>
      </c>
      <c r="H8" s="30" t="s">
        <v>14</v>
      </c>
      <c r="I8" s="30"/>
      <c r="J8" s="30" t="s">
        <v>14</v>
      </c>
      <c r="K8" s="30" t="s">
        <v>14</v>
      </c>
      <c r="L8" s="30" t="s">
        <v>14</v>
      </c>
      <c r="M8" s="30" t="s">
        <v>14</v>
      </c>
      <c r="N8" s="30"/>
      <c r="O8" s="30" t="b">
        <f t="shared" si="0"/>
        <v>1</v>
      </c>
    </row>
    <row r="9" spans="1:15" x14ac:dyDescent="0.3">
      <c r="A9" s="41" t="s">
        <v>26</v>
      </c>
      <c r="B9" s="41" t="s">
        <v>29</v>
      </c>
      <c r="C9" s="32" t="s">
        <v>355</v>
      </c>
      <c r="D9" s="32" t="s">
        <v>14</v>
      </c>
      <c r="E9" s="30" t="s">
        <v>30</v>
      </c>
      <c r="F9" s="30" t="s">
        <v>14</v>
      </c>
      <c r="G9" s="30">
        <v>31</v>
      </c>
      <c r="H9" s="30" t="s">
        <v>14</v>
      </c>
      <c r="I9" s="30"/>
      <c r="J9" s="30" t="s">
        <v>14</v>
      </c>
      <c r="K9" s="30"/>
      <c r="L9" s="30" t="s">
        <v>14</v>
      </c>
      <c r="M9" s="30"/>
      <c r="N9" s="30" t="s">
        <v>14</v>
      </c>
      <c r="O9" s="30" t="b">
        <f t="shared" si="0"/>
        <v>1</v>
      </c>
    </row>
    <row r="10" spans="1:15" x14ac:dyDescent="0.3">
      <c r="A10" s="41" t="s">
        <v>26</v>
      </c>
      <c r="B10" s="41" t="s">
        <v>31</v>
      </c>
      <c r="C10" s="32"/>
      <c r="D10" s="32"/>
      <c r="E10" s="30" t="s">
        <v>32</v>
      </c>
      <c r="F10" s="30" t="s">
        <v>14</v>
      </c>
      <c r="G10" s="30">
        <v>33</v>
      </c>
      <c r="H10" s="30" t="s">
        <v>14</v>
      </c>
      <c r="I10" s="30"/>
      <c r="J10" s="30"/>
      <c r="K10" s="30" t="s">
        <v>14</v>
      </c>
      <c r="L10" s="30"/>
      <c r="M10" s="30" t="s">
        <v>14</v>
      </c>
      <c r="N10" s="30" t="s">
        <v>14</v>
      </c>
      <c r="O10" s="30" t="b">
        <f t="shared" si="0"/>
        <v>1</v>
      </c>
    </row>
    <row r="11" spans="1:15" x14ac:dyDescent="0.3">
      <c r="A11" s="41" t="s">
        <v>33</v>
      </c>
      <c r="B11" s="41" t="s">
        <v>34</v>
      </c>
      <c r="C11" s="32" t="s">
        <v>356</v>
      </c>
      <c r="D11" s="32" t="s">
        <v>14</v>
      </c>
      <c r="E11" s="30" t="s">
        <v>35</v>
      </c>
      <c r="F11" s="30" t="s">
        <v>14</v>
      </c>
      <c r="G11" s="30">
        <v>37</v>
      </c>
      <c r="H11" s="30" t="s">
        <v>14</v>
      </c>
      <c r="I11" s="30"/>
      <c r="J11" s="30" t="s">
        <v>14</v>
      </c>
      <c r="K11" s="30" t="s">
        <v>14</v>
      </c>
      <c r="L11" s="30" t="s">
        <v>14</v>
      </c>
      <c r="M11" s="30" t="s">
        <v>14</v>
      </c>
      <c r="N11" s="30"/>
      <c r="O11" s="30" t="b">
        <f t="shared" si="0"/>
        <v>1</v>
      </c>
    </row>
    <row r="12" spans="1:15" x14ac:dyDescent="0.3">
      <c r="A12" s="41" t="s">
        <v>33</v>
      </c>
      <c r="B12" s="41" t="s">
        <v>36</v>
      </c>
      <c r="C12" s="32" t="s">
        <v>161</v>
      </c>
      <c r="D12" s="32" t="s">
        <v>14</v>
      </c>
      <c r="E12" s="30" t="s">
        <v>37</v>
      </c>
      <c r="F12" s="30" t="s">
        <v>14</v>
      </c>
      <c r="G12" s="30">
        <v>40</v>
      </c>
      <c r="H12" s="30" t="s">
        <v>14</v>
      </c>
      <c r="I12" s="30"/>
      <c r="J12" s="30"/>
      <c r="K12" s="30"/>
      <c r="L12" s="30" t="s">
        <v>14</v>
      </c>
      <c r="M12" s="30"/>
      <c r="N12" s="30" t="s">
        <v>14</v>
      </c>
      <c r="O12" s="30" t="b">
        <f t="shared" si="0"/>
        <v>1</v>
      </c>
    </row>
    <row r="13" spans="1:15" x14ac:dyDescent="0.3">
      <c r="A13" s="41" t="s">
        <v>33</v>
      </c>
      <c r="B13" s="41" t="s">
        <v>38</v>
      </c>
      <c r="C13" s="32">
        <v>31</v>
      </c>
      <c r="D13" s="32" t="s">
        <v>14</v>
      </c>
      <c r="E13" s="30"/>
      <c r="F13" s="30"/>
      <c r="G13" s="30">
        <v>42</v>
      </c>
      <c r="H13" s="30" t="s">
        <v>14</v>
      </c>
      <c r="I13" s="30"/>
      <c r="J13" s="30" t="s">
        <v>14</v>
      </c>
      <c r="K13" s="30" t="s">
        <v>14</v>
      </c>
      <c r="L13" s="30" t="s">
        <v>14</v>
      </c>
      <c r="M13" s="30" t="s">
        <v>14</v>
      </c>
      <c r="N13" s="30" t="s">
        <v>14</v>
      </c>
      <c r="O13" s="30" t="b">
        <f t="shared" si="0"/>
        <v>1</v>
      </c>
    </row>
    <row r="14" spans="1:15" x14ac:dyDescent="0.3">
      <c r="A14" s="42" t="s">
        <v>39</v>
      </c>
      <c r="B14" s="42" t="s">
        <v>40</v>
      </c>
      <c r="C14" s="32">
        <v>4</v>
      </c>
      <c r="D14" s="43" t="s">
        <v>14</v>
      </c>
      <c r="E14" s="30">
        <v>30</v>
      </c>
      <c r="F14" s="30" t="s">
        <v>14</v>
      </c>
      <c r="G14" s="30">
        <v>44</v>
      </c>
      <c r="H14" s="30" t="s">
        <v>14</v>
      </c>
      <c r="I14" s="30"/>
      <c r="J14" s="30" t="s">
        <v>14</v>
      </c>
      <c r="K14" s="30" t="s">
        <v>14</v>
      </c>
      <c r="L14" s="30" t="s">
        <v>14</v>
      </c>
      <c r="M14" s="30" t="s">
        <v>14</v>
      </c>
      <c r="N14" s="30" t="s">
        <v>14</v>
      </c>
      <c r="O14" s="30" t="b">
        <f t="shared" si="0"/>
        <v>1</v>
      </c>
    </row>
    <row r="15" spans="1:15" x14ac:dyDescent="0.3">
      <c r="A15" s="42" t="s">
        <v>41</v>
      </c>
      <c r="B15" s="42" t="s">
        <v>42</v>
      </c>
      <c r="C15" s="32" t="s">
        <v>376</v>
      </c>
      <c r="D15" s="43" t="s">
        <v>14</v>
      </c>
      <c r="E15" s="30"/>
      <c r="F15" s="30"/>
      <c r="G15" s="30">
        <v>4</v>
      </c>
      <c r="H15" s="30" t="s">
        <v>14</v>
      </c>
      <c r="I15" s="30"/>
      <c r="J15" s="30"/>
      <c r="K15" s="30"/>
      <c r="L15" s="30" t="s">
        <v>14</v>
      </c>
      <c r="M15" s="30" t="s">
        <v>14</v>
      </c>
      <c r="N15" s="30" t="s">
        <v>14</v>
      </c>
      <c r="O15" s="30" t="b">
        <f t="shared" si="0"/>
        <v>1</v>
      </c>
    </row>
    <row r="16" spans="1:15" x14ac:dyDescent="0.3">
      <c r="A16" s="42" t="s">
        <v>43</v>
      </c>
      <c r="B16" s="42" t="s">
        <v>44</v>
      </c>
      <c r="C16" s="34">
        <v>6</v>
      </c>
      <c r="D16" s="43" t="s">
        <v>14</v>
      </c>
      <c r="E16" s="30">
        <v>6</v>
      </c>
      <c r="F16" s="30" t="s">
        <v>14</v>
      </c>
      <c r="G16" s="30">
        <v>5</v>
      </c>
      <c r="H16" s="30" t="s">
        <v>14</v>
      </c>
      <c r="I16" s="30"/>
      <c r="J16" s="30"/>
      <c r="K16" s="30"/>
      <c r="L16" s="30"/>
      <c r="M16" s="30" t="s">
        <v>14</v>
      </c>
      <c r="N16" s="30"/>
      <c r="O16" s="30" t="b">
        <f t="shared" si="0"/>
        <v>0</v>
      </c>
    </row>
    <row r="17" spans="1:15" x14ac:dyDescent="0.3">
      <c r="A17" s="42" t="s">
        <v>43</v>
      </c>
      <c r="B17" s="42" t="s">
        <v>45</v>
      </c>
      <c r="C17" s="32">
        <v>4</v>
      </c>
      <c r="D17" s="43" t="s">
        <v>14</v>
      </c>
      <c r="E17" s="30">
        <v>34</v>
      </c>
      <c r="F17" s="30" t="s">
        <v>14</v>
      </c>
      <c r="G17" s="30">
        <v>47</v>
      </c>
      <c r="H17" s="30" t="s">
        <v>14</v>
      </c>
      <c r="I17" s="30"/>
      <c r="J17" s="30"/>
      <c r="K17" s="30" t="s">
        <v>14</v>
      </c>
      <c r="L17" s="30"/>
      <c r="M17" s="30" t="s">
        <v>14</v>
      </c>
      <c r="N17" s="30" t="s">
        <v>14</v>
      </c>
      <c r="O17" s="30" t="b">
        <f t="shared" si="0"/>
        <v>1</v>
      </c>
    </row>
    <row r="18" spans="1:15" x14ac:dyDescent="0.3">
      <c r="A18" s="42" t="s">
        <v>46</v>
      </c>
      <c r="B18" s="42" t="s">
        <v>47</v>
      </c>
      <c r="C18" s="43" t="s">
        <v>357</v>
      </c>
      <c r="D18" s="43" t="s">
        <v>14</v>
      </c>
      <c r="E18" s="30" t="s">
        <v>48</v>
      </c>
      <c r="F18" s="30" t="s">
        <v>14</v>
      </c>
      <c r="G18" s="30" t="s">
        <v>49</v>
      </c>
      <c r="H18" s="30" t="s">
        <v>14</v>
      </c>
      <c r="I18" s="30"/>
      <c r="J18" s="30" t="s">
        <v>14</v>
      </c>
      <c r="K18" s="30"/>
      <c r="L18" s="30" t="s">
        <v>14</v>
      </c>
      <c r="M18" s="30" t="s">
        <v>14</v>
      </c>
      <c r="N18" s="30" t="s">
        <v>14</v>
      </c>
      <c r="O18" s="30" t="b">
        <f t="shared" si="0"/>
        <v>1</v>
      </c>
    </row>
    <row r="19" spans="1:15" x14ac:dyDescent="0.3">
      <c r="A19" s="42" t="s">
        <v>46</v>
      </c>
      <c r="B19" s="42" t="s">
        <v>50</v>
      </c>
      <c r="C19" s="43" t="s">
        <v>358</v>
      </c>
      <c r="D19" s="43" t="s">
        <v>14</v>
      </c>
      <c r="E19" s="30" t="s">
        <v>51</v>
      </c>
      <c r="F19" s="30" t="s">
        <v>14</v>
      </c>
      <c r="G19" s="30" t="s">
        <v>52</v>
      </c>
      <c r="H19" s="30" t="s">
        <v>14</v>
      </c>
      <c r="I19" s="30"/>
      <c r="J19" s="30" t="s">
        <v>14</v>
      </c>
      <c r="K19" s="30"/>
      <c r="L19" s="30" t="s">
        <v>14</v>
      </c>
      <c r="M19" s="30" t="s">
        <v>14</v>
      </c>
      <c r="N19" s="30" t="s">
        <v>14</v>
      </c>
      <c r="O19" s="30" t="b">
        <f t="shared" si="0"/>
        <v>1</v>
      </c>
    </row>
    <row r="20" spans="1:15" x14ac:dyDescent="0.3">
      <c r="A20" s="42" t="s">
        <v>46</v>
      </c>
      <c r="B20" s="42" t="s">
        <v>53</v>
      </c>
      <c r="C20" s="43" t="s">
        <v>359</v>
      </c>
      <c r="D20" s="43" t="s">
        <v>14</v>
      </c>
      <c r="E20" s="30" t="s">
        <v>54</v>
      </c>
      <c r="F20" s="30" t="s">
        <v>14</v>
      </c>
      <c r="G20" s="30" t="s">
        <v>55</v>
      </c>
      <c r="H20" s="30" t="s">
        <v>14</v>
      </c>
      <c r="I20" s="30"/>
      <c r="J20" s="30" t="s">
        <v>14</v>
      </c>
      <c r="K20" s="30"/>
      <c r="L20" s="30" t="s">
        <v>14</v>
      </c>
      <c r="M20" s="30" t="s">
        <v>14</v>
      </c>
      <c r="N20" s="30" t="s">
        <v>14</v>
      </c>
      <c r="O20" s="30" t="b">
        <f t="shared" si="0"/>
        <v>1</v>
      </c>
    </row>
    <row r="21" spans="1:15" x14ac:dyDescent="0.3">
      <c r="A21" s="42" t="s">
        <v>46</v>
      </c>
      <c r="B21" s="42" t="s">
        <v>56</v>
      </c>
      <c r="C21" s="43" t="s">
        <v>57</v>
      </c>
      <c r="D21" s="43" t="s">
        <v>14</v>
      </c>
      <c r="E21" s="30" t="s">
        <v>57</v>
      </c>
      <c r="F21" s="30" t="s">
        <v>14</v>
      </c>
      <c r="G21" s="30" t="s">
        <v>58</v>
      </c>
      <c r="H21" s="30" t="s">
        <v>14</v>
      </c>
      <c r="I21" s="30"/>
      <c r="J21" s="30" t="s">
        <v>14</v>
      </c>
      <c r="K21" s="30"/>
      <c r="L21" s="30" t="s">
        <v>14</v>
      </c>
      <c r="M21" s="30" t="s">
        <v>14</v>
      </c>
      <c r="N21" s="30" t="s">
        <v>14</v>
      </c>
      <c r="O21" s="30" t="b">
        <f t="shared" si="0"/>
        <v>1</v>
      </c>
    </row>
    <row r="22" spans="1:15" x14ac:dyDescent="0.3">
      <c r="A22" s="42" t="s">
        <v>59</v>
      </c>
      <c r="B22" s="42" t="s">
        <v>60</v>
      </c>
      <c r="C22" s="32">
        <v>1</v>
      </c>
      <c r="D22" s="43" t="s">
        <v>14</v>
      </c>
      <c r="E22" s="30">
        <v>36</v>
      </c>
      <c r="F22" s="30" t="s">
        <v>14</v>
      </c>
      <c r="G22" s="30">
        <v>1</v>
      </c>
      <c r="H22" s="30" t="s">
        <v>14</v>
      </c>
      <c r="I22" s="30"/>
      <c r="J22" s="30" t="s">
        <v>14</v>
      </c>
      <c r="K22" s="30" t="s">
        <v>14</v>
      </c>
      <c r="L22" s="30" t="s">
        <v>14</v>
      </c>
      <c r="M22" s="30"/>
      <c r="N22" s="30" t="s">
        <v>14</v>
      </c>
      <c r="O22" s="30" t="b">
        <f t="shared" si="0"/>
        <v>1</v>
      </c>
    </row>
    <row r="23" spans="1:15" x14ac:dyDescent="0.3">
      <c r="A23" s="42" t="s">
        <v>59</v>
      </c>
      <c r="B23" s="42" t="s">
        <v>61</v>
      </c>
      <c r="C23" s="32">
        <v>2</v>
      </c>
      <c r="D23" s="43" t="s">
        <v>14</v>
      </c>
      <c r="E23" s="30">
        <v>37</v>
      </c>
      <c r="F23" s="30" t="s">
        <v>14</v>
      </c>
      <c r="G23" s="30">
        <v>3</v>
      </c>
      <c r="H23" s="30" t="s">
        <v>14</v>
      </c>
      <c r="I23" s="30"/>
      <c r="J23" s="30" t="s">
        <v>14</v>
      </c>
      <c r="K23" s="30" t="s">
        <v>14</v>
      </c>
      <c r="L23" s="30"/>
      <c r="M23" s="30"/>
      <c r="N23" s="30" t="s">
        <v>14</v>
      </c>
      <c r="O23" s="30" t="b">
        <f t="shared" si="0"/>
        <v>1</v>
      </c>
    </row>
    <row r="24" spans="1:15" x14ac:dyDescent="0.3">
      <c r="A24" s="42" t="s">
        <v>59</v>
      </c>
      <c r="B24" s="42" t="s">
        <v>62</v>
      </c>
      <c r="C24" s="34">
        <v>3</v>
      </c>
      <c r="D24" s="43" t="s">
        <v>14</v>
      </c>
      <c r="E24" s="30">
        <v>35</v>
      </c>
      <c r="F24" s="30" t="s">
        <v>14</v>
      </c>
      <c r="G24" s="30">
        <v>4</v>
      </c>
      <c r="H24" s="30" t="s">
        <v>14</v>
      </c>
      <c r="I24" s="30"/>
      <c r="J24" s="30" t="s">
        <v>14</v>
      </c>
      <c r="K24" s="30" t="s">
        <v>14</v>
      </c>
      <c r="L24" s="30" t="s">
        <v>14</v>
      </c>
      <c r="M24" s="30" t="s">
        <v>14</v>
      </c>
      <c r="N24" s="30" t="s">
        <v>14</v>
      </c>
      <c r="O24" s="30" t="b">
        <f t="shared" si="0"/>
        <v>1</v>
      </c>
    </row>
    <row r="25" spans="1:15" x14ac:dyDescent="0.3">
      <c r="A25" s="42" t="s">
        <v>59</v>
      </c>
      <c r="B25" s="42" t="s">
        <v>63</v>
      </c>
      <c r="C25" s="32"/>
      <c r="D25" s="30"/>
      <c r="E25" s="30"/>
      <c r="F25" s="30"/>
      <c r="G25" s="30"/>
      <c r="H25" s="30"/>
      <c r="I25" s="30"/>
      <c r="J25" s="30" t="s">
        <v>14</v>
      </c>
      <c r="K25" s="30"/>
      <c r="L25" s="30"/>
      <c r="M25" s="30"/>
      <c r="N25" s="30"/>
      <c r="O25" s="30" t="b">
        <f t="shared" si="0"/>
        <v>0</v>
      </c>
    </row>
    <row r="26" spans="1:15" x14ac:dyDescent="0.3">
      <c r="A26" s="39" t="s">
        <v>59</v>
      </c>
      <c r="B26" s="30" t="s">
        <v>64</v>
      </c>
      <c r="C26" s="32"/>
      <c r="D26" s="30"/>
      <c r="E26" s="30"/>
      <c r="F26" s="30"/>
      <c r="G26" s="30"/>
      <c r="H26" s="30"/>
      <c r="I26" s="30"/>
      <c r="J26" s="30" t="s">
        <v>14</v>
      </c>
      <c r="K26" s="30" t="s">
        <v>14</v>
      </c>
      <c r="L26" s="30" t="s">
        <v>14</v>
      </c>
      <c r="M26" s="30" t="s">
        <v>14</v>
      </c>
      <c r="N26" s="30" t="s">
        <v>14</v>
      </c>
      <c r="O26" s="30" t="b">
        <f t="shared" si="0"/>
        <v>1</v>
      </c>
    </row>
    <row r="27" spans="1:15" x14ac:dyDescent="0.3">
      <c r="A27" s="39" t="s">
        <v>59</v>
      </c>
      <c r="B27" s="30" t="s">
        <v>65</v>
      </c>
      <c r="C27" s="32"/>
      <c r="D27" s="30"/>
      <c r="E27" s="30"/>
      <c r="F27" s="30"/>
      <c r="G27" s="30"/>
      <c r="H27" s="30"/>
      <c r="I27" s="30"/>
      <c r="J27" s="30"/>
      <c r="K27" s="30" t="s">
        <v>14</v>
      </c>
      <c r="L27" s="30"/>
      <c r="M27" s="30"/>
      <c r="N27" s="30"/>
      <c r="O27" s="30" t="b">
        <f t="shared" si="0"/>
        <v>0</v>
      </c>
    </row>
    <row r="28" spans="1:15" x14ac:dyDescent="0.3">
      <c r="A28" s="39" t="s">
        <v>66</v>
      </c>
      <c r="B28" s="30" t="s">
        <v>67</v>
      </c>
      <c r="C28" s="32">
        <v>65</v>
      </c>
      <c r="D28" s="30" t="s">
        <v>14</v>
      </c>
      <c r="E28" s="30">
        <v>41</v>
      </c>
      <c r="F28" s="30" t="s">
        <v>14</v>
      </c>
      <c r="G28" s="30"/>
      <c r="H28" s="30"/>
      <c r="I28" s="30"/>
      <c r="J28" s="30"/>
      <c r="K28" s="30" t="s">
        <v>14</v>
      </c>
      <c r="L28" s="30"/>
      <c r="M28" s="30"/>
      <c r="N28" s="30"/>
      <c r="O28" s="30" t="b">
        <f t="shared" si="0"/>
        <v>0</v>
      </c>
    </row>
    <row r="29" spans="1:15" x14ac:dyDescent="0.3">
      <c r="A29" s="30" t="s">
        <v>66</v>
      </c>
      <c r="B29" s="30" t="s">
        <v>68</v>
      </c>
      <c r="C29" s="32">
        <v>12</v>
      </c>
      <c r="D29" s="32" t="s">
        <v>14</v>
      </c>
      <c r="E29" s="30">
        <v>52</v>
      </c>
      <c r="F29" s="30" t="s">
        <v>14</v>
      </c>
      <c r="G29" s="30">
        <v>14</v>
      </c>
      <c r="H29" s="30" t="s">
        <v>14</v>
      </c>
      <c r="I29" s="30"/>
      <c r="J29" s="30" t="s">
        <v>14</v>
      </c>
      <c r="K29" s="30"/>
      <c r="L29" s="30"/>
      <c r="M29" s="30"/>
      <c r="N29" s="30"/>
      <c r="O29" s="30" t="b">
        <f t="shared" si="0"/>
        <v>0</v>
      </c>
    </row>
    <row r="30" spans="1:15" x14ac:dyDescent="0.3">
      <c r="A30" s="39" t="s">
        <v>66</v>
      </c>
      <c r="B30" s="30" t="s">
        <v>69</v>
      </c>
      <c r="C30" s="32">
        <v>4</v>
      </c>
      <c r="D30" s="32" t="s">
        <v>14</v>
      </c>
      <c r="E30" s="30"/>
      <c r="F30" s="30"/>
      <c r="G30" s="30">
        <v>48</v>
      </c>
      <c r="H30" s="30" t="s">
        <v>14</v>
      </c>
      <c r="I30" s="30"/>
      <c r="J30" s="30" t="s">
        <v>14</v>
      </c>
      <c r="K30" s="30"/>
      <c r="L30" s="30"/>
      <c r="M30" s="30"/>
      <c r="N30" s="30"/>
      <c r="O30" s="30" t="b">
        <f t="shared" si="0"/>
        <v>0</v>
      </c>
    </row>
    <row r="31" spans="1:15" x14ac:dyDescent="0.3">
      <c r="A31" s="30" t="s">
        <v>66</v>
      </c>
      <c r="B31" s="31" t="s">
        <v>70</v>
      </c>
      <c r="C31" s="32">
        <v>8</v>
      </c>
      <c r="D31" s="32" t="s">
        <v>14</v>
      </c>
      <c r="E31" s="31">
        <v>1</v>
      </c>
      <c r="F31" s="31" t="s">
        <v>14</v>
      </c>
      <c r="G31" s="31">
        <v>48</v>
      </c>
      <c r="H31" s="31" t="s">
        <v>14</v>
      </c>
      <c r="I31" s="30"/>
      <c r="J31" s="30"/>
      <c r="K31" s="30"/>
      <c r="L31" s="30"/>
      <c r="M31" s="30" t="s">
        <v>14</v>
      </c>
      <c r="N31" s="30"/>
      <c r="O31" s="30" t="b">
        <f t="shared" si="0"/>
        <v>0</v>
      </c>
    </row>
    <row r="32" spans="1:15" x14ac:dyDescent="0.3">
      <c r="A32" s="30" t="s">
        <v>66</v>
      </c>
      <c r="B32" s="31" t="s">
        <v>71</v>
      </c>
      <c r="C32" s="32">
        <v>9</v>
      </c>
      <c r="D32" s="32" t="s">
        <v>14</v>
      </c>
      <c r="E32" s="31">
        <v>2</v>
      </c>
      <c r="F32" s="31" t="s">
        <v>14</v>
      </c>
      <c r="G32" s="31">
        <v>48</v>
      </c>
      <c r="H32" s="31" t="s">
        <v>14</v>
      </c>
      <c r="I32" s="30"/>
      <c r="J32" s="30"/>
      <c r="K32" s="30"/>
      <c r="L32" s="30"/>
      <c r="M32" s="30" t="s">
        <v>14</v>
      </c>
      <c r="N32" s="30"/>
      <c r="O32" s="30" t="b">
        <f t="shared" si="0"/>
        <v>0</v>
      </c>
    </row>
    <row r="33" spans="1:15" x14ac:dyDescent="0.3">
      <c r="A33" s="30" t="s">
        <v>66</v>
      </c>
      <c r="B33" s="30" t="s">
        <v>72</v>
      </c>
      <c r="C33" s="32">
        <v>10</v>
      </c>
      <c r="D33" s="32" t="s">
        <v>14</v>
      </c>
      <c r="E33" s="30">
        <v>3</v>
      </c>
      <c r="F33" s="30" t="s">
        <v>14</v>
      </c>
      <c r="G33" s="30">
        <v>8</v>
      </c>
      <c r="H33" s="30" t="s">
        <v>14</v>
      </c>
      <c r="I33" s="30"/>
      <c r="J33" s="30"/>
      <c r="K33" s="30"/>
      <c r="L33" s="30"/>
      <c r="M33" s="30" t="s">
        <v>14</v>
      </c>
      <c r="N33" s="30"/>
      <c r="O33" s="30" t="b">
        <f t="shared" si="0"/>
        <v>0</v>
      </c>
    </row>
    <row r="34" spans="1:15" x14ac:dyDescent="0.3">
      <c r="A34" s="30" t="s">
        <v>66</v>
      </c>
      <c r="B34" s="30" t="s">
        <v>73</v>
      </c>
      <c r="C34" s="32">
        <v>11</v>
      </c>
      <c r="D34" s="32" t="s">
        <v>14</v>
      </c>
      <c r="E34" s="30">
        <v>4</v>
      </c>
      <c r="F34" s="30" t="s">
        <v>14</v>
      </c>
      <c r="G34" s="30">
        <v>49</v>
      </c>
      <c r="H34" s="30" t="s">
        <v>14</v>
      </c>
      <c r="I34" s="30"/>
      <c r="J34" s="30" t="s">
        <v>14</v>
      </c>
      <c r="K34" s="30"/>
      <c r="L34" s="30"/>
      <c r="M34" s="30" t="s">
        <v>14</v>
      </c>
      <c r="N34" s="30"/>
      <c r="O34" s="30" t="b">
        <f t="shared" si="0"/>
        <v>1</v>
      </c>
    </row>
    <row r="35" spans="1:15" x14ac:dyDescent="0.3">
      <c r="A35" s="39" t="s">
        <v>66</v>
      </c>
      <c r="B35" s="30" t="s">
        <v>74</v>
      </c>
      <c r="C35" s="32"/>
      <c r="D35" s="32"/>
      <c r="E35" s="30"/>
      <c r="F35" s="30"/>
      <c r="G35" s="30"/>
      <c r="H35" s="30"/>
      <c r="I35" s="30"/>
      <c r="J35" s="30" t="s">
        <v>14</v>
      </c>
      <c r="K35" s="30"/>
      <c r="L35" s="30"/>
      <c r="M35" s="30"/>
      <c r="N35" s="30"/>
      <c r="O35" s="30" t="b">
        <f t="shared" si="0"/>
        <v>0</v>
      </c>
    </row>
    <row r="36" spans="1:15" x14ac:dyDescent="0.3">
      <c r="A36" s="39" t="s">
        <v>66</v>
      </c>
      <c r="B36" s="30" t="s">
        <v>75</v>
      </c>
      <c r="C36" s="32"/>
      <c r="D36" s="32"/>
      <c r="E36" s="30"/>
      <c r="F36" s="30"/>
      <c r="G36" s="30"/>
      <c r="H36" s="30"/>
      <c r="I36" s="30"/>
      <c r="J36" s="30" t="s">
        <v>14</v>
      </c>
      <c r="K36" s="30"/>
      <c r="L36" s="30"/>
      <c r="M36" s="30"/>
      <c r="N36" s="30"/>
      <c r="O36" s="30" t="b">
        <f t="shared" si="0"/>
        <v>0</v>
      </c>
    </row>
    <row r="37" spans="1:15" x14ac:dyDescent="0.3">
      <c r="A37" s="39" t="s">
        <v>66</v>
      </c>
      <c r="B37" s="30" t="s">
        <v>76</v>
      </c>
      <c r="C37" s="32"/>
      <c r="D37" s="32"/>
      <c r="E37" s="30"/>
      <c r="F37" s="30"/>
      <c r="G37" s="30"/>
      <c r="H37" s="30"/>
      <c r="I37" s="30"/>
      <c r="J37" s="30"/>
      <c r="K37" s="30" t="s">
        <v>14</v>
      </c>
      <c r="L37" s="30"/>
      <c r="M37" s="30"/>
      <c r="N37" s="30"/>
      <c r="O37" s="30" t="b">
        <f>COUNTIF(J37:N37,"&lt;&gt;")&gt;1</f>
        <v>0</v>
      </c>
    </row>
    <row r="38" spans="1:15" x14ac:dyDescent="0.3">
      <c r="C38" s="1"/>
      <c r="D38" s="1"/>
    </row>
    <row r="39" spans="1:15" x14ac:dyDescent="0.3">
      <c r="C39" s="1"/>
      <c r="D39" s="1"/>
    </row>
    <row r="40" spans="1:15" x14ac:dyDescent="0.3">
      <c r="C40" s="1"/>
      <c r="D40" s="1"/>
    </row>
    <row r="41" spans="1:15" x14ac:dyDescent="0.3">
      <c r="C41" s="1"/>
      <c r="D41" s="1"/>
    </row>
  </sheetData>
  <conditionalFormatting sqref="A17:B37 A2:B15 G2:N13 E17:N37 E14:N15">
    <cfRule type="expression" dxfId="31" priority="12">
      <formula>$O2=1</formula>
    </cfRule>
  </conditionalFormatting>
  <conditionalFormatting sqref="A16:B16 G16:M16 E16">
    <cfRule type="expression" dxfId="30" priority="14">
      <formula>$N16=1</formula>
    </cfRule>
  </conditionalFormatting>
  <conditionalFormatting sqref="F16">
    <cfRule type="expression" dxfId="29" priority="11">
      <formula>$O16=1</formula>
    </cfRule>
  </conditionalFormatting>
  <conditionalFormatting sqref="E2:F13">
    <cfRule type="expression" dxfId="28" priority="10">
      <formula>$O2=1</formula>
    </cfRule>
  </conditionalFormatting>
  <conditionalFormatting sqref="C25:D41 C8:C13">
    <cfRule type="expression" dxfId="27" priority="9">
      <formula>$N7=1</formula>
    </cfRule>
  </conditionalFormatting>
  <conditionalFormatting sqref="C3:C5">
    <cfRule type="expression" dxfId="26" priority="4">
      <formula>$N2=1</formula>
    </cfRule>
  </conditionalFormatting>
  <conditionalFormatting sqref="C2:D2 D3:D13">
    <cfRule type="expression" dxfId="25" priority="5">
      <formula>#REF!=1</formula>
    </cfRule>
  </conditionalFormatting>
  <conditionalFormatting sqref="C6:C7">
    <cfRule type="expression" dxfId="24" priority="6">
      <formula>$N4=1</formula>
    </cfRule>
  </conditionalFormatting>
  <conditionalFormatting sqref="C15:D24">
    <cfRule type="expression" dxfId="23" priority="3">
      <formula>$N14=1</formula>
    </cfRule>
  </conditionalFormatting>
  <conditionalFormatting sqref="D14:D24">
    <cfRule type="expression" dxfId="22" priority="2">
      <formula>#REF!=1</formula>
    </cfRule>
  </conditionalFormatting>
  <conditionalFormatting sqref="C14">
    <cfRule type="expression" dxfId="21" priority="1">
      <formula>$N13=1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1"/>
  <sheetViews>
    <sheetView topLeftCell="B1" workbookViewId="0">
      <selection activeCell="J2" sqref="J2"/>
    </sheetView>
  </sheetViews>
  <sheetFormatPr defaultRowHeight="14.4" x14ac:dyDescent="0.3"/>
  <cols>
    <col min="1" max="1" width="24" customWidth="1"/>
    <col min="2" max="2" width="78.21875" customWidth="1"/>
    <col min="3" max="3" width="13.5546875" customWidth="1"/>
    <col min="4" max="4" width="11" customWidth="1"/>
    <col min="5" max="5" width="47.21875" customWidth="1"/>
    <col min="6" max="6" width="30.44140625" customWidth="1"/>
    <col min="7" max="7" width="22.88671875" customWidth="1"/>
    <col min="8" max="8" width="22.6640625" customWidth="1"/>
    <col min="9" max="9" width="20.5546875" customWidth="1"/>
    <col min="10" max="10" width="30.5546875" customWidth="1"/>
    <col min="11" max="12" width="4.109375" customWidth="1"/>
    <col min="13" max="13" width="5" customWidth="1"/>
    <col min="14" max="14" width="4" customWidth="1"/>
  </cols>
  <sheetData>
    <row r="1" spans="1:15" x14ac:dyDescent="0.3">
      <c r="A1" s="30" t="s">
        <v>0</v>
      </c>
      <c r="B1" s="30" t="s">
        <v>77</v>
      </c>
      <c r="C1" s="30" t="s">
        <v>78</v>
      </c>
      <c r="D1" s="30" t="s">
        <v>277</v>
      </c>
      <c r="E1" s="30" t="s">
        <v>78</v>
      </c>
      <c r="F1" s="30" t="s">
        <v>3</v>
      </c>
      <c r="G1" s="30" t="s">
        <v>78</v>
      </c>
      <c r="H1" s="30" t="s">
        <v>80</v>
      </c>
      <c r="I1" s="30" t="s">
        <v>79</v>
      </c>
      <c r="J1" s="30" t="s">
        <v>390</v>
      </c>
      <c r="K1" s="30" t="s">
        <v>7</v>
      </c>
      <c r="L1" s="30" t="s">
        <v>8</v>
      </c>
      <c r="M1" s="30" t="s">
        <v>9</v>
      </c>
      <c r="N1" s="30" t="s">
        <v>10</v>
      </c>
      <c r="O1" s="30" t="s">
        <v>79</v>
      </c>
    </row>
    <row r="2" spans="1:15" x14ac:dyDescent="0.3">
      <c r="A2" s="31" t="s">
        <v>81</v>
      </c>
      <c r="B2" s="30" t="s">
        <v>82</v>
      </c>
      <c r="C2" s="32" t="s">
        <v>346</v>
      </c>
      <c r="D2" s="32" t="s">
        <v>14</v>
      </c>
      <c r="E2" s="30" t="s">
        <v>83</v>
      </c>
      <c r="F2" s="30" t="s">
        <v>14</v>
      </c>
      <c r="G2" s="38" t="s">
        <v>84</v>
      </c>
      <c r="H2" s="30" t="s">
        <v>14</v>
      </c>
      <c r="I2" s="30"/>
      <c r="J2" s="30" t="s">
        <v>14</v>
      </c>
      <c r="K2" s="30" t="s">
        <v>14</v>
      </c>
      <c r="L2" s="30" t="s">
        <v>14</v>
      </c>
      <c r="M2" s="30" t="s">
        <v>14</v>
      </c>
      <c r="N2" s="30" t="s">
        <v>14</v>
      </c>
      <c r="O2" s="30" t="b">
        <f>COUNTIF(J2:N2,"&lt;&gt;")&gt;1</f>
        <v>1</v>
      </c>
    </row>
    <row r="3" spans="1:15" x14ac:dyDescent="0.3">
      <c r="A3" s="31" t="s">
        <v>81</v>
      </c>
      <c r="B3" s="30" t="s">
        <v>85</v>
      </c>
      <c r="C3" s="32" t="s">
        <v>347</v>
      </c>
      <c r="D3" s="32" t="s">
        <v>14</v>
      </c>
      <c r="E3" s="30" t="s">
        <v>86</v>
      </c>
      <c r="F3" s="30" t="s">
        <v>14</v>
      </c>
      <c r="G3" s="30" t="s">
        <v>87</v>
      </c>
      <c r="H3" s="30" t="s">
        <v>14</v>
      </c>
      <c r="I3" s="30"/>
      <c r="J3" s="30" t="s">
        <v>14</v>
      </c>
      <c r="K3" s="30" t="s">
        <v>14</v>
      </c>
      <c r="L3" s="30" t="s">
        <v>14</v>
      </c>
      <c r="M3" s="30" t="s">
        <v>14</v>
      </c>
      <c r="N3" s="30" t="s">
        <v>14</v>
      </c>
      <c r="O3" s="30" t="b">
        <f t="shared" ref="O3:O30" si="0">COUNTIF(J3:N3,"&lt;&gt;")&gt;1</f>
        <v>1</v>
      </c>
    </row>
    <row r="4" spans="1:15" x14ac:dyDescent="0.3">
      <c r="A4" s="31" t="s">
        <v>88</v>
      </c>
      <c r="B4" s="30" t="s">
        <v>89</v>
      </c>
      <c r="C4" s="32" t="s">
        <v>346</v>
      </c>
      <c r="D4" s="32" t="s">
        <v>14</v>
      </c>
      <c r="E4" s="30" t="s">
        <v>83</v>
      </c>
      <c r="F4" s="30" t="s">
        <v>14</v>
      </c>
      <c r="G4" s="30" t="s">
        <v>84</v>
      </c>
      <c r="H4" s="30" t="s">
        <v>14</v>
      </c>
      <c r="I4" s="30"/>
      <c r="J4" s="30" t="s">
        <v>14</v>
      </c>
      <c r="K4" s="30"/>
      <c r="L4" s="30" t="s">
        <v>14</v>
      </c>
      <c r="M4" s="30" t="s">
        <v>14</v>
      </c>
      <c r="N4" s="30" t="s">
        <v>14</v>
      </c>
      <c r="O4" s="30" t="b">
        <f t="shared" si="0"/>
        <v>1</v>
      </c>
    </row>
    <row r="5" spans="1:15" x14ac:dyDescent="0.3">
      <c r="A5" s="31" t="s">
        <v>88</v>
      </c>
      <c r="B5" s="30" t="s">
        <v>90</v>
      </c>
      <c r="C5" s="32" t="s">
        <v>346</v>
      </c>
      <c r="D5" s="32" t="s">
        <v>14</v>
      </c>
      <c r="E5" s="30" t="s">
        <v>83</v>
      </c>
      <c r="F5" s="30" t="s">
        <v>14</v>
      </c>
      <c r="G5" s="30" t="s">
        <v>84</v>
      </c>
      <c r="H5" s="30" t="s">
        <v>14</v>
      </c>
      <c r="I5" s="30"/>
      <c r="J5" s="30" t="s">
        <v>14</v>
      </c>
      <c r="K5" s="30" t="s">
        <v>14</v>
      </c>
      <c r="L5" s="30" t="s">
        <v>14</v>
      </c>
      <c r="M5" s="30"/>
      <c r="N5" s="30" t="s">
        <v>14</v>
      </c>
      <c r="O5" s="30" t="b">
        <f t="shared" si="0"/>
        <v>1</v>
      </c>
    </row>
    <row r="6" spans="1:15" x14ac:dyDescent="0.3">
      <c r="A6" s="31" t="s">
        <v>88</v>
      </c>
      <c r="B6" s="30" t="s">
        <v>91</v>
      </c>
      <c r="C6" s="32" t="s">
        <v>347</v>
      </c>
      <c r="D6" s="32" t="s">
        <v>14</v>
      </c>
      <c r="E6" s="30" t="s">
        <v>86</v>
      </c>
      <c r="F6" s="30" t="s">
        <v>14</v>
      </c>
      <c r="G6" s="30" t="s">
        <v>87</v>
      </c>
      <c r="H6" s="30" t="s">
        <v>14</v>
      </c>
      <c r="I6" s="30"/>
      <c r="J6" s="30" t="s">
        <v>14</v>
      </c>
      <c r="K6" s="30" t="s">
        <v>14</v>
      </c>
      <c r="L6" s="30" t="s">
        <v>14</v>
      </c>
      <c r="M6" s="30" t="s">
        <v>14</v>
      </c>
      <c r="N6" s="30" t="s">
        <v>14</v>
      </c>
      <c r="O6" s="30" t="b">
        <f t="shared" si="0"/>
        <v>1</v>
      </c>
    </row>
    <row r="7" spans="1:15" x14ac:dyDescent="0.3">
      <c r="A7" s="31" t="s">
        <v>88</v>
      </c>
      <c r="B7" s="30" t="s">
        <v>92</v>
      </c>
      <c r="C7" s="32" t="s">
        <v>347</v>
      </c>
      <c r="D7" s="32" t="s">
        <v>14</v>
      </c>
      <c r="E7" s="30" t="s">
        <v>86</v>
      </c>
      <c r="F7" s="30" t="s">
        <v>14</v>
      </c>
      <c r="G7" s="30" t="s">
        <v>87</v>
      </c>
      <c r="H7" s="30" t="s">
        <v>14</v>
      </c>
      <c r="I7" s="30"/>
      <c r="J7" s="30" t="s">
        <v>14</v>
      </c>
      <c r="K7" s="30" t="s">
        <v>14</v>
      </c>
      <c r="L7" s="30" t="s">
        <v>14</v>
      </c>
      <c r="M7" s="30"/>
      <c r="N7" s="30" t="s">
        <v>14</v>
      </c>
      <c r="O7" s="30" t="b">
        <f t="shared" si="0"/>
        <v>1</v>
      </c>
    </row>
    <row r="8" spans="1:15" x14ac:dyDescent="0.3">
      <c r="A8" s="31" t="s">
        <v>93</v>
      </c>
      <c r="B8" s="30" t="s">
        <v>94</v>
      </c>
      <c r="C8" s="32" t="s">
        <v>348</v>
      </c>
      <c r="D8" s="32" t="s">
        <v>14</v>
      </c>
      <c r="E8" s="30" t="s">
        <v>95</v>
      </c>
      <c r="F8" s="30" t="s">
        <v>14</v>
      </c>
      <c r="G8" s="30" t="s">
        <v>96</v>
      </c>
      <c r="H8" s="30" t="s">
        <v>14</v>
      </c>
      <c r="I8" s="30"/>
      <c r="J8" s="30" t="s">
        <v>14</v>
      </c>
      <c r="K8" s="30" t="s">
        <v>14</v>
      </c>
      <c r="L8" s="30" t="s">
        <v>14</v>
      </c>
      <c r="M8" s="30" t="s">
        <v>14</v>
      </c>
      <c r="N8" s="30" t="s">
        <v>14</v>
      </c>
      <c r="O8" s="30" t="b">
        <f t="shared" si="0"/>
        <v>1</v>
      </c>
    </row>
    <row r="9" spans="1:15" x14ac:dyDescent="0.3">
      <c r="A9" s="31" t="s">
        <v>93</v>
      </c>
      <c r="B9" s="30" t="s">
        <v>97</v>
      </c>
      <c r="C9" s="32" t="s">
        <v>349</v>
      </c>
      <c r="D9" s="32" t="s">
        <v>14</v>
      </c>
      <c r="E9" s="30" t="s">
        <v>98</v>
      </c>
      <c r="F9" s="30" t="s">
        <v>14</v>
      </c>
      <c r="G9" s="30" t="s">
        <v>99</v>
      </c>
      <c r="H9" s="30" t="s">
        <v>14</v>
      </c>
      <c r="I9" s="30"/>
      <c r="J9" s="30" t="s">
        <v>14</v>
      </c>
      <c r="K9" s="30"/>
      <c r="L9" s="30" t="s">
        <v>14</v>
      </c>
      <c r="M9" s="30" t="s">
        <v>14</v>
      </c>
      <c r="N9" s="30" t="s">
        <v>14</v>
      </c>
      <c r="O9" s="30" t="b">
        <f t="shared" si="0"/>
        <v>1</v>
      </c>
    </row>
    <row r="10" spans="1:15" x14ac:dyDescent="0.3">
      <c r="A10" s="31" t="s">
        <v>93</v>
      </c>
      <c r="B10" s="30" t="s">
        <v>100</v>
      </c>
      <c r="C10" s="32" t="s">
        <v>350</v>
      </c>
      <c r="D10" s="32" t="s">
        <v>14</v>
      </c>
      <c r="E10" s="30">
        <v>48</v>
      </c>
      <c r="F10" s="30" t="s">
        <v>14</v>
      </c>
      <c r="G10" s="30">
        <v>48</v>
      </c>
      <c r="H10" s="30" t="s">
        <v>14</v>
      </c>
      <c r="I10" s="30"/>
      <c r="J10" s="30" t="s">
        <v>14</v>
      </c>
      <c r="K10" s="30"/>
      <c r="L10" s="30" t="s">
        <v>14</v>
      </c>
      <c r="M10" s="30"/>
      <c r="N10" s="30" t="s">
        <v>14</v>
      </c>
      <c r="O10" s="30" t="b">
        <f t="shared" si="0"/>
        <v>1</v>
      </c>
    </row>
    <row r="11" spans="1:15" x14ac:dyDescent="0.3">
      <c r="A11" s="39" t="s">
        <v>101</v>
      </c>
      <c r="B11" s="30" t="s">
        <v>102</v>
      </c>
      <c r="C11" s="32">
        <v>1</v>
      </c>
      <c r="D11" s="32" t="s">
        <v>14</v>
      </c>
      <c r="E11" s="30" t="s">
        <v>103</v>
      </c>
      <c r="F11" s="30" t="s">
        <v>14</v>
      </c>
      <c r="G11" s="30">
        <v>1</v>
      </c>
      <c r="H11" s="30" t="s">
        <v>14</v>
      </c>
      <c r="I11" s="30"/>
      <c r="J11" s="30" t="s">
        <v>14</v>
      </c>
      <c r="K11" s="30" t="s">
        <v>14</v>
      </c>
      <c r="L11" s="30" t="s">
        <v>14</v>
      </c>
      <c r="M11" s="30" t="s">
        <v>14</v>
      </c>
      <c r="N11" s="30" t="s">
        <v>14</v>
      </c>
      <c r="O11" s="30" t="b">
        <f t="shared" si="0"/>
        <v>1</v>
      </c>
    </row>
    <row r="12" spans="1:15" x14ac:dyDescent="0.3">
      <c r="A12" s="39" t="s">
        <v>101</v>
      </c>
      <c r="B12" s="30" t="s">
        <v>104</v>
      </c>
      <c r="C12" s="32">
        <v>5</v>
      </c>
      <c r="D12" s="32" t="s">
        <v>14</v>
      </c>
      <c r="E12" s="30" t="s">
        <v>105</v>
      </c>
      <c r="F12" s="30" t="s">
        <v>14</v>
      </c>
      <c r="G12" s="30">
        <v>5</v>
      </c>
      <c r="H12" s="30" t="s">
        <v>14</v>
      </c>
      <c r="I12" s="30"/>
      <c r="J12" s="30" t="s">
        <v>14</v>
      </c>
      <c r="K12" s="30" t="s">
        <v>14</v>
      </c>
      <c r="L12" s="30" t="s">
        <v>14</v>
      </c>
      <c r="M12" s="30" t="s">
        <v>14</v>
      </c>
      <c r="N12" s="30" t="s">
        <v>14</v>
      </c>
      <c r="O12" s="30" t="b">
        <f t="shared" si="0"/>
        <v>1</v>
      </c>
    </row>
    <row r="13" spans="1:15" x14ac:dyDescent="0.3">
      <c r="A13" s="39" t="s">
        <v>106</v>
      </c>
      <c r="B13" s="30" t="s">
        <v>107</v>
      </c>
      <c r="C13" s="32">
        <v>55</v>
      </c>
      <c r="D13" s="32" t="s">
        <v>14</v>
      </c>
      <c r="E13" s="30" t="s">
        <v>108</v>
      </c>
      <c r="F13" s="30" t="s">
        <v>14</v>
      </c>
      <c r="G13" s="30" t="s">
        <v>109</v>
      </c>
      <c r="H13" s="30" t="s">
        <v>14</v>
      </c>
      <c r="I13" s="30"/>
      <c r="J13" s="30" t="s">
        <v>14</v>
      </c>
      <c r="K13" s="30" t="s">
        <v>14</v>
      </c>
      <c r="L13" s="30" t="s">
        <v>14</v>
      </c>
      <c r="M13" s="30" t="s">
        <v>14</v>
      </c>
      <c r="N13" s="30" t="s">
        <v>14</v>
      </c>
      <c r="O13" s="30" t="b">
        <f t="shared" si="0"/>
        <v>1</v>
      </c>
    </row>
    <row r="14" spans="1:15" x14ac:dyDescent="0.3">
      <c r="A14" s="39" t="s">
        <v>106</v>
      </c>
      <c r="B14" s="30" t="s">
        <v>110</v>
      </c>
      <c r="C14" s="32">
        <v>54</v>
      </c>
      <c r="D14" s="32" t="s">
        <v>14</v>
      </c>
      <c r="E14" s="30">
        <v>37</v>
      </c>
      <c r="F14" s="30" t="s">
        <v>14</v>
      </c>
      <c r="G14" s="30" t="s">
        <v>111</v>
      </c>
      <c r="H14" s="30" t="s">
        <v>14</v>
      </c>
      <c r="I14" s="30"/>
      <c r="J14" s="30"/>
      <c r="K14" s="30" t="s">
        <v>14</v>
      </c>
      <c r="L14" s="30" t="s">
        <v>14</v>
      </c>
      <c r="M14" s="30" t="s">
        <v>14</v>
      </c>
      <c r="N14" s="30" t="s">
        <v>14</v>
      </c>
      <c r="O14" s="30" t="b">
        <f t="shared" si="0"/>
        <v>1</v>
      </c>
    </row>
    <row r="15" spans="1:15" x14ac:dyDescent="0.3">
      <c r="A15" s="39" t="s">
        <v>106</v>
      </c>
      <c r="B15" s="30" t="s">
        <v>112</v>
      </c>
      <c r="C15" s="32">
        <v>52</v>
      </c>
      <c r="D15" s="32" t="s">
        <v>14</v>
      </c>
      <c r="E15" s="30">
        <v>50</v>
      </c>
      <c r="F15" s="30" t="s">
        <v>14</v>
      </c>
      <c r="G15" s="30">
        <v>50</v>
      </c>
      <c r="H15" s="30" t="s">
        <v>14</v>
      </c>
      <c r="I15" s="30"/>
      <c r="J15" s="30" t="s">
        <v>14</v>
      </c>
      <c r="K15" s="30" t="s">
        <v>14</v>
      </c>
      <c r="L15" s="30"/>
      <c r="M15" s="30" t="s">
        <v>14</v>
      </c>
      <c r="N15" s="30" t="s">
        <v>14</v>
      </c>
      <c r="O15" s="30" t="b">
        <f t="shared" si="0"/>
        <v>1</v>
      </c>
    </row>
    <row r="16" spans="1:15" x14ac:dyDescent="0.3">
      <c r="A16" s="39" t="s">
        <v>113</v>
      </c>
      <c r="B16" s="30" t="s">
        <v>114</v>
      </c>
      <c r="C16" s="34">
        <v>57</v>
      </c>
      <c r="D16" s="32" t="s">
        <v>14</v>
      </c>
      <c r="E16" s="30">
        <v>31</v>
      </c>
      <c r="F16" s="30" t="s">
        <v>14</v>
      </c>
      <c r="G16" s="30">
        <v>31</v>
      </c>
      <c r="H16" s="30" t="s">
        <v>14</v>
      </c>
      <c r="I16" s="30"/>
      <c r="J16" s="30" t="s">
        <v>14</v>
      </c>
      <c r="K16" s="30" t="s">
        <v>14</v>
      </c>
      <c r="L16" s="30" t="s">
        <v>14</v>
      </c>
      <c r="M16" s="30" t="s">
        <v>14</v>
      </c>
      <c r="N16" s="30"/>
      <c r="O16" s="30" t="b">
        <f t="shared" si="0"/>
        <v>1</v>
      </c>
    </row>
    <row r="17" spans="1:15" x14ac:dyDescent="0.3">
      <c r="A17" s="39" t="s">
        <v>113</v>
      </c>
      <c r="B17" s="30" t="s">
        <v>115</v>
      </c>
      <c r="C17" s="32">
        <v>56</v>
      </c>
      <c r="D17" s="32" t="s">
        <v>14</v>
      </c>
      <c r="E17" s="30">
        <v>28</v>
      </c>
      <c r="F17" s="30" t="s">
        <v>14</v>
      </c>
      <c r="G17" s="30">
        <v>30</v>
      </c>
      <c r="H17" s="30" t="s">
        <v>14</v>
      </c>
      <c r="I17" s="30"/>
      <c r="J17" s="30"/>
      <c r="K17" s="30" t="s">
        <v>14</v>
      </c>
      <c r="L17" s="30"/>
      <c r="M17" s="30" t="s">
        <v>14</v>
      </c>
      <c r="N17" s="30" t="s">
        <v>14</v>
      </c>
      <c r="O17" s="30" t="b">
        <f t="shared" si="0"/>
        <v>1</v>
      </c>
    </row>
    <row r="18" spans="1:15" x14ac:dyDescent="0.3">
      <c r="A18" s="39" t="s">
        <v>116</v>
      </c>
      <c r="B18" s="30" t="s">
        <v>117</v>
      </c>
      <c r="C18" s="32">
        <v>22</v>
      </c>
      <c r="D18" s="32" t="s">
        <v>14</v>
      </c>
      <c r="E18" s="30">
        <v>14</v>
      </c>
      <c r="F18" s="30" t="s">
        <v>14</v>
      </c>
      <c r="G18" s="30">
        <v>14</v>
      </c>
      <c r="H18" s="30" t="s">
        <v>14</v>
      </c>
      <c r="I18" s="30"/>
      <c r="J18" s="30"/>
      <c r="K18" s="30"/>
      <c r="L18" s="30"/>
      <c r="M18" s="30" t="s">
        <v>14</v>
      </c>
      <c r="N18" s="30"/>
      <c r="O18" s="30" t="b">
        <f t="shared" si="0"/>
        <v>0</v>
      </c>
    </row>
    <row r="19" spans="1:15" x14ac:dyDescent="0.3">
      <c r="A19" s="39" t="s">
        <v>116</v>
      </c>
      <c r="B19" s="30" t="s">
        <v>118</v>
      </c>
      <c r="C19" s="32">
        <v>23</v>
      </c>
      <c r="D19" s="32" t="s">
        <v>14</v>
      </c>
      <c r="E19" s="30">
        <v>16</v>
      </c>
      <c r="F19" s="30" t="s">
        <v>14</v>
      </c>
      <c r="G19" s="30">
        <v>16</v>
      </c>
      <c r="H19" s="30" t="s">
        <v>14</v>
      </c>
      <c r="I19" s="30"/>
      <c r="J19" s="30" t="s">
        <v>14</v>
      </c>
      <c r="K19" s="30"/>
      <c r="L19" s="30"/>
      <c r="M19" s="30"/>
      <c r="N19" s="30"/>
      <c r="O19" s="30" t="b">
        <f t="shared" si="0"/>
        <v>0</v>
      </c>
    </row>
    <row r="20" spans="1:15" x14ac:dyDescent="0.3">
      <c r="A20" s="39" t="s">
        <v>119</v>
      </c>
      <c r="B20" s="30" t="s">
        <v>120</v>
      </c>
      <c r="C20" s="32">
        <v>58</v>
      </c>
      <c r="D20" s="32" t="s">
        <v>14</v>
      </c>
      <c r="E20" s="30">
        <v>29</v>
      </c>
      <c r="F20" s="30" t="s">
        <v>14</v>
      </c>
      <c r="G20" s="30">
        <v>29</v>
      </c>
      <c r="H20" s="30" t="s">
        <v>14</v>
      </c>
      <c r="I20" s="30"/>
      <c r="J20" s="30" t="s">
        <v>14</v>
      </c>
      <c r="K20" s="30"/>
      <c r="L20" s="30"/>
      <c r="M20" s="30"/>
      <c r="N20" s="30" t="s">
        <v>14</v>
      </c>
      <c r="O20" s="30" t="b">
        <f t="shared" si="0"/>
        <v>1</v>
      </c>
    </row>
    <row r="21" spans="1:15" x14ac:dyDescent="0.3">
      <c r="A21" s="40" t="s">
        <v>119</v>
      </c>
      <c r="B21" s="30" t="s">
        <v>121</v>
      </c>
      <c r="C21" s="32">
        <v>59</v>
      </c>
      <c r="D21" s="30" t="s">
        <v>14</v>
      </c>
      <c r="E21" s="30">
        <v>32</v>
      </c>
      <c r="F21" s="30" t="s">
        <v>14</v>
      </c>
      <c r="G21" s="30">
        <v>32</v>
      </c>
      <c r="H21" s="30" t="s">
        <v>14</v>
      </c>
      <c r="I21" s="30"/>
      <c r="J21" s="30" t="s">
        <v>14</v>
      </c>
      <c r="K21" s="30" t="s">
        <v>14</v>
      </c>
      <c r="L21" s="30" t="s">
        <v>14</v>
      </c>
      <c r="M21" s="30" t="s">
        <v>14</v>
      </c>
      <c r="N21" s="30"/>
      <c r="O21" s="30" t="b">
        <f t="shared" si="0"/>
        <v>1</v>
      </c>
    </row>
    <row r="22" spans="1:15" x14ac:dyDescent="0.3">
      <c r="A22" s="40" t="s">
        <v>119</v>
      </c>
      <c r="B22" s="30" t="s">
        <v>122</v>
      </c>
      <c r="C22" s="32" t="s">
        <v>278</v>
      </c>
      <c r="D22" s="30" t="s">
        <v>14</v>
      </c>
      <c r="E22" s="30"/>
      <c r="F22" s="30"/>
      <c r="G22" s="30"/>
      <c r="H22" s="30"/>
      <c r="I22" s="30"/>
      <c r="J22" s="30"/>
      <c r="K22" s="30" t="s">
        <v>14</v>
      </c>
      <c r="L22" s="30"/>
      <c r="M22" s="30"/>
      <c r="N22" s="30" t="s">
        <v>14</v>
      </c>
      <c r="O22" s="30" t="b">
        <f t="shared" si="0"/>
        <v>1</v>
      </c>
    </row>
    <row r="23" spans="1:15" x14ac:dyDescent="0.3">
      <c r="A23" s="40" t="s">
        <v>123</v>
      </c>
      <c r="B23" s="30" t="s">
        <v>124</v>
      </c>
      <c r="C23" s="32">
        <v>41</v>
      </c>
      <c r="D23" s="30" t="s">
        <v>14</v>
      </c>
      <c r="E23" s="30">
        <v>49</v>
      </c>
      <c r="F23" s="30" t="s">
        <v>14</v>
      </c>
      <c r="G23" s="30">
        <v>49</v>
      </c>
      <c r="H23" s="30" t="s">
        <v>14</v>
      </c>
      <c r="I23" s="30"/>
      <c r="J23" s="30" t="s">
        <v>14</v>
      </c>
      <c r="K23" s="30"/>
      <c r="L23" s="30" t="s">
        <v>14</v>
      </c>
      <c r="M23" s="30" t="s">
        <v>14</v>
      </c>
      <c r="N23" s="30"/>
      <c r="O23" s="30" t="b">
        <f t="shared" si="0"/>
        <v>1</v>
      </c>
    </row>
    <row r="24" spans="1:15" x14ac:dyDescent="0.3">
      <c r="A24" s="40" t="s">
        <v>123</v>
      </c>
      <c r="B24" s="30" t="s">
        <v>125</v>
      </c>
      <c r="C24" s="34">
        <v>39</v>
      </c>
      <c r="D24" s="30" t="s">
        <v>14</v>
      </c>
      <c r="E24" s="30">
        <v>53</v>
      </c>
      <c r="F24" s="30" t="s">
        <v>14</v>
      </c>
      <c r="G24" s="30"/>
      <c r="H24" s="30"/>
      <c r="I24" s="30"/>
      <c r="J24" s="30" t="s">
        <v>14</v>
      </c>
      <c r="K24" s="30"/>
      <c r="L24" s="30" t="s">
        <v>14</v>
      </c>
      <c r="M24" s="30" t="s">
        <v>14</v>
      </c>
      <c r="N24" s="30"/>
      <c r="O24" s="30" t="b">
        <f t="shared" si="0"/>
        <v>1</v>
      </c>
    </row>
    <row r="25" spans="1:15" x14ac:dyDescent="0.3">
      <c r="A25" s="40" t="s">
        <v>123</v>
      </c>
      <c r="B25" s="30" t="s">
        <v>126</v>
      </c>
      <c r="C25" s="32">
        <v>40</v>
      </c>
      <c r="D25" s="30" t="s">
        <v>14</v>
      </c>
      <c r="E25" s="30">
        <v>52</v>
      </c>
      <c r="F25" s="30" t="s">
        <v>14</v>
      </c>
      <c r="G25" s="30"/>
      <c r="H25" s="30"/>
      <c r="I25" s="30"/>
      <c r="J25" s="30" t="s">
        <v>14</v>
      </c>
      <c r="K25" s="30"/>
      <c r="L25" s="30" t="s">
        <v>14</v>
      </c>
      <c r="M25" s="30" t="s">
        <v>14</v>
      </c>
      <c r="N25" s="30"/>
      <c r="O25" s="30" t="b">
        <f t="shared" si="0"/>
        <v>1</v>
      </c>
    </row>
    <row r="26" spans="1:15" x14ac:dyDescent="0.3">
      <c r="A26" s="40" t="s">
        <v>123</v>
      </c>
      <c r="B26" s="30" t="s">
        <v>127</v>
      </c>
      <c r="C26" s="32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 t="s">
        <v>14</v>
      </c>
      <c r="O26" s="30" t="b">
        <f t="shared" si="0"/>
        <v>0</v>
      </c>
    </row>
    <row r="27" spans="1:15" x14ac:dyDescent="0.3">
      <c r="A27" s="40" t="s">
        <v>128</v>
      </c>
      <c r="B27" s="30" t="s">
        <v>129</v>
      </c>
      <c r="C27" s="32">
        <v>37</v>
      </c>
      <c r="D27" s="30" t="s">
        <v>14</v>
      </c>
      <c r="E27" s="30">
        <v>26</v>
      </c>
      <c r="F27" s="30" t="s">
        <v>14</v>
      </c>
      <c r="G27" s="30">
        <v>26</v>
      </c>
      <c r="H27" s="30" t="s">
        <v>14</v>
      </c>
      <c r="I27" s="30"/>
      <c r="J27" s="30"/>
      <c r="K27" s="30"/>
      <c r="L27" s="30"/>
      <c r="M27" s="30"/>
      <c r="N27" s="30" t="s">
        <v>14</v>
      </c>
      <c r="O27" s="30" t="b">
        <f t="shared" si="0"/>
        <v>0</v>
      </c>
    </row>
    <row r="28" spans="1:15" x14ac:dyDescent="0.3">
      <c r="A28" s="40" t="s">
        <v>128</v>
      </c>
      <c r="B28" s="30" t="s">
        <v>130</v>
      </c>
      <c r="C28" s="32">
        <v>36</v>
      </c>
      <c r="D28" s="30" t="s">
        <v>14</v>
      </c>
      <c r="E28" s="30" t="s">
        <v>131</v>
      </c>
      <c r="F28" s="30"/>
      <c r="G28" s="30" t="s">
        <v>132</v>
      </c>
      <c r="H28" s="30" t="s">
        <v>14</v>
      </c>
      <c r="I28" s="30"/>
      <c r="J28" s="30"/>
      <c r="K28" s="30"/>
      <c r="L28" s="30"/>
      <c r="M28" s="30" t="s">
        <v>14</v>
      </c>
      <c r="N28" s="30" t="s">
        <v>14</v>
      </c>
      <c r="O28" s="30" t="b">
        <f t="shared" si="0"/>
        <v>1</v>
      </c>
    </row>
    <row r="29" spans="1:15" x14ac:dyDescent="0.3">
      <c r="A29" s="40" t="s">
        <v>128</v>
      </c>
      <c r="B29" s="30" t="s">
        <v>133</v>
      </c>
      <c r="C29" s="32">
        <v>24</v>
      </c>
      <c r="D29" s="32" t="s">
        <v>14</v>
      </c>
      <c r="E29" s="30"/>
      <c r="F29" s="30"/>
      <c r="G29" s="30"/>
      <c r="H29" s="30"/>
      <c r="I29" s="30"/>
      <c r="J29" s="30" t="s">
        <v>14</v>
      </c>
      <c r="K29" s="30"/>
      <c r="L29" s="30"/>
      <c r="M29" s="30"/>
      <c r="N29" s="30"/>
      <c r="O29" s="30" t="b">
        <f t="shared" si="0"/>
        <v>0</v>
      </c>
    </row>
    <row r="30" spans="1:15" x14ac:dyDescent="0.3">
      <c r="A30" s="40" t="s">
        <v>128</v>
      </c>
      <c r="B30" s="30" t="s">
        <v>134</v>
      </c>
      <c r="C30" s="32">
        <v>30</v>
      </c>
      <c r="D30" s="32" t="s">
        <v>14</v>
      </c>
      <c r="E30" s="30"/>
      <c r="F30" s="30"/>
      <c r="G30" s="30"/>
      <c r="H30" s="30"/>
      <c r="I30" s="30"/>
      <c r="J30" s="30" t="s">
        <v>14</v>
      </c>
      <c r="K30" s="30"/>
      <c r="L30" s="30"/>
      <c r="M30" s="30"/>
      <c r="N30" s="30"/>
      <c r="O30" s="30" t="b">
        <f t="shared" si="0"/>
        <v>0</v>
      </c>
    </row>
    <row r="31" spans="1:15" x14ac:dyDescent="0.3">
      <c r="C31" s="1"/>
      <c r="D31" s="1"/>
    </row>
    <row r="32" spans="1:15" x14ac:dyDescent="0.3">
      <c r="C32" s="1"/>
      <c r="D32" s="1"/>
    </row>
    <row r="33" spans="3:4" x14ac:dyDescent="0.3">
      <c r="C33" s="1"/>
      <c r="D33" s="1"/>
    </row>
    <row r="34" spans="3:4" x14ac:dyDescent="0.3">
      <c r="C34" s="1"/>
      <c r="D34" s="1"/>
    </row>
    <row r="35" spans="3:4" x14ac:dyDescent="0.3">
      <c r="C35" s="1"/>
      <c r="D35" s="1"/>
    </row>
    <row r="36" spans="3:4" x14ac:dyDescent="0.3">
      <c r="C36" s="1"/>
      <c r="D36" s="1"/>
    </row>
    <row r="37" spans="3:4" x14ac:dyDescent="0.3">
      <c r="C37" s="1"/>
      <c r="D37" s="1"/>
    </row>
    <row r="38" spans="3:4" x14ac:dyDescent="0.3">
      <c r="C38" s="1"/>
      <c r="D38" s="1"/>
    </row>
    <row r="39" spans="3:4" x14ac:dyDescent="0.3">
      <c r="C39" s="1"/>
      <c r="D39" s="1"/>
    </row>
    <row r="40" spans="3:4" x14ac:dyDescent="0.3">
      <c r="C40" s="1"/>
      <c r="D40" s="1"/>
    </row>
    <row r="41" spans="3:4" x14ac:dyDescent="0.3">
      <c r="C41" s="1"/>
      <c r="D41" s="1"/>
    </row>
  </sheetData>
  <conditionalFormatting sqref="H4:N8 E11:F30 A2:B30 G9:N30 G4 G8 G2:N3">
    <cfRule type="expression" dxfId="20" priority="14">
      <formula>$O2=1</formula>
    </cfRule>
  </conditionalFormatting>
  <conditionalFormatting sqref="G6">
    <cfRule type="expression" dxfId="19" priority="19">
      <formula>$O5=1</formula>
    </cfRule>
  </conditionalFormatting>
  <conditionalFormatting sqref="G5">
    <cfRule type="expression" dxfId="18" priority="13">
      <formula>$O5=1</formula>
    </cfRule>
  </conditionalFormatting>
  <conditionalFormatting sqref="G7">
    <cfRule type="expression" dxfId="17" priority="12">
      <formula>$O6=1</formula>
    </cfRule>
  </conditionalFormatting>
  <conditionalFormatting sqref="E2:F10">
    <cfRule type="expression" dxfId="16" priority="11">
      <formula>$O2=1</formula>
    </cfRule>
  </conditionalFormatting>
  <conditionalFormatting sqref="C21:D41 C6:C10">
    <cfRule type="expression" dxfId="15" priority="10">
      <formula>$N5=1</formula>
    </cfRule>
  </conditionalFormatting>
  <conditionalFormatting sqref="C3">
    <cfRule type="expression" dxfId="14" priority="6">
      <formula>$N2=1</formula>
    </cfRule>
  </conditionalFormatting>
  <conditionalFormatting sqref="C2:D2 D3:D10">
    <cfRule type="expression" dxfId="13" priority="7">
      <formula>#REF!=1</formula>
    </cfRule>
  </conditionalFormatting>
  <conditionalFormatting sqref="C4">
    <cfRule type="expression" dxfId="12" priority="5">
      <formula>#REF!=1</formula>
    </cfRule>
  </conditionalFormatting>
  <conditionalFormatting sqref="C5">
    <cfRule type="expression" dxfId="11" priority="4">
      <formula>#REF!=1</formula>
    </cfRule>
  </conditionalFormatting>
  <conditionalFormatting sqref="C15:D20">
    <cfRule type="expression" dxfId="10" priority="3">
      <formula>$N14=1</formula>
    </cfRule>
  </conditionalFormatting>
  <conditionalFormatting sqref="D11:D20">
    <cfRule type="expression" dxfId="9" priority="2">
      <formula>#REF!=1</formula>
    </cfRule>
  </conditionalFormatting>
  <conditionalFormatting sqref="C11:C14">
    <cfRule type="expression" dxfId="8" priority="1">
      <formula>$N10=1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1"/>
  <sheetViews>
    <sheetView workbookViewId="0">
      <selection activeCell="I2" sqref="I2"/>
    </sheetView>
  </sheetViews>
  <sheetFormatPr defaultColWidth="34.44140625" defaultRowHeight="14.4" x14ac:dyDescent="0.3"/>
  <cols>
    <col min="1" max="1" width="25.6640625" customWidth="1"/>
    <col min="2" max="2" width="76.44140625" customWidth="1"/>
    <col min="3" max="3" width="13.109375" customWidth="1"/>
    <col min="4" max="4" width="10.5546875" customWidth="1"/>
    <col min="5" max="5" width="20" customWidth="1"/>
    <col min="6" max="6" width="17.44140625" customWidth="1"/>
    <col min="7" max="7" width="19" customWidth="1"/>
    <col min="8" max="8" width="11.33203125" customWidth="1"/>
    <col min="9" max="9" width="14.21875" customWidth="1"/>
    <col min="10" max="13" width="4.109375" customWidth="1"/>
    <col min="14" max="14" width="21.33203125" customWidth="1"/>
  </cols>
  <sheetData>
    <row r="1" spans="1:14" x14ac:dyDescent="0.3">
      <c r="A1" s="30" t="s">
        <v>0</v>
      </c>
      <c r="B1" s="30" t="s">
        <v>77</v>
      </c>
      <c r="C1" s="30" t="s">
        <v>78</v>
      </c>
      <c r="D1" s="30" t="s">
        <v>277</v>
      </c>
      <c r="E1" s="30" t="s">
        <v>78</v>
      </c>
      <c r="F1" s="30" t="s">
        <v>3</v>
      </c>
      <c r="G1" s="30" t="s">
        <v>78</v>
      </c>
      <c r="H1" s="30" t="s">
        <v>80</v>
      </c>
      <c r="I1" s="30" t="s">
        <v>390</v>
      </c>
      <c r="J1" s="30" t="s">
        <v>7</v>
      </c>
      <c r="K1" s="30" t="s">
        <v>8</v>
      </c>
      <c r="L1" s="30" t="s">
        <v>9</v>
      </c>
      <c r="M1" s="30" t="s">
        <v>10</v>
      </c>
      <c r="N1" s="30" t="s">
        <v>79</v>
      </c>
    </row>
    <row r="2" spans="1:14" ht="18" customHeight="1" x14ac:dyDescent="0.3">
      <c r="A2" s="31" t="s">
        <v>135</v>
      </c>
      <c r="B2" s="32" t="s">
        <v>136</v>
      </c>
      <c r="C2" s="32" t="s">
        <v>138</v>
      </c>
      <c r="D2" s="32" t="s">
        <v>14</v>
      </c>
      <c r="E2" s="32" t="s">
        <v>137</v>
      </c>
      <c r="F2" s="32" t="s">
        <v>14</v>
      </c>
      <c r="G2" s="32" t="s">
        <v>138</v>
      </c>
      <c r="H2" s="32" t="s">
        <v>14</v>
      </c>
      <c r="I2" s="30" t="s">
        <v>14</v>
      </c>
      <c r="J2" s="30" t="s">
        <v>14</v>
      </c>
      <c r="K2" s="30" t="s">
        <v>14</v>
      </c>
      <c r="L2" s="30" t="s">
        <v>14</v>
      </c>
      <c r="M2" s="30" t="s">
        <v>14</v>
      </c>
      <c r="N2" s="30" t="b">
        <f t="shared" ref="N2:N41" si="0">COUNTIF(I2:M2,"&lt;&gt;")&gt;1</f>
        <v>1</v>
      </c>
    </row>
    <row r="3" spans="1:14" ht="16.2" customHeight="1" x14ac:dyDescent="0.3">
      <c r="A3" s="31" t="s">
        <v>139</v>
      </c>
      <c r="B3" s="32" t="s">
        <v>140</v>
      </c>
      <c r="C3" s="32" t="s">
        <v>341</v>
      </c>
      <c r="D3" s="32" t="s">
        <v>14</v>
      </c>
      <c r="E3" s="32" t="s">
        <v>141</v>
      </c>
      <c r="F3" s="32" t="s">
        <v>14</v>
      </c>
      <c r="G3" s="32" t="s">
        <v>142</v>
      </c>
      <c r="H3" s="32" t="s">
        <v>14</v>
      </c>
      <c r="I3" s="30" t="s">
        <v>14</v>
      </c>
      <c r="J3" s="30" t="s">
        <v>14</v>
      </c>
      <c r="K3" s="30" t="s">
        <v>14</v>
      </c>
      <c r="L3" s="30" t="s">
        <v>14</v>
      </c>
      <c r="M3" s="30" t="s">
        <v>14</v>
      </c>
      <c r="N3" s="30" t="b">
        <f t="shared" si="0"/>
        <v>1</v>
      </c>
    </row>
    <row r="4" spans="1:14" x14ac:dyDescent="0.3">
      <c r="A4" s="31" t="s">
        <v>143</v>
      </c>
      <c r="B4" s="32" t="s">
        <v>144</v>
      </c>
      <c r="C4" s="32">
        <v>36</v>
      </c>
      <c r="D4" s="32" t="s">
        <v>14</v>
      </c>
      <c r="E4" s="32">
        <v>13</v>
      </c>
      <c r="F4" s="32" t="s">
        <v>14</v>
      </c>
      <c r="G4" s="32">
        <v>29</v>
      </c>
      <c r="H4" s="32" t="s">
        <v>14</v>
      </c>
      <c r="I4" s="30" t="s">
        <v>14</v>
      </c>
      <c r="J4" s="30" t="s">
        <v>14</v>
      </c>
      <c r="K4" s="30" t="s">
        <v>14</v>
      </c>
      <c r="L4" s="30" t="s">
        <v>14</v>
      </c>
      <c r="M4" s="30" t="s">
        <v>14</v>
      </c>
      <c r="N4" s="30" t="b">
        <f t="shared" si="0"/>
        <v>1</v>
      </c>
    </row>
    <row r="5" spans="1:14" x14ac:dyDescent="0.3">
      <c r="A5" s="31" t="s">
        <v>145</v>
      </c>
      <c r="B5" s="32" t="s">
        <v>146</v>
      </c>
      <c r="C5" s="32">
        <v>37</v>
      </c>
      <c r="D5" s="32" t="s">
        <v>14</v>
      </c>
      <c r="E5" s="32">
        <v>14</v>
      </c>
      <c r="F5" s="32" t="s">
        <v>14</v>
      </c>
      <c r="G5" s="32">
        <v>30</v>
      </c>
      <c r="H5" s="32" t="s">
        <v>14</v>
      </c>
      <c r="I5" s="30" t="s">
        <v>14</v>
      </c>
      <c r="J5" s="30" t="s">
        <v>14</v>
      </c>
      <c r="K5" s="30" t="s">
        <v>14</v>
      </c>
      <c r="L5" s="30" t="s">
        <v>14</v>
      </c>
      <c r="M5" s="30" t="s">
        <v>14</v>
      </c>
      <c r="N5" s="30" t="b">
        <f t="shared" si="0"/>
        <v>1</v>
      </c>
    </row>
    <row r="6" spans="1:14" ht="19.2" customHeight="1" x14ac:dyDescent="0.3">
      <c r="A6" s="31" t="s">
        <v>147</v>
      </c>
      <c r="B6" s="32" t="s">
        <v>148</v>
      </c>
      <c r="C6" s="32" t="s">
        <v>342</v>
      </c>
      <c r="D6" s="32" t="s">
        <v>14</v>
      </c>
      <c r="E6" s="32" t="s">
        <v>149</v>
      </c>
      <c r="F6" s="32" t="s">
        <v>14</v>
      </c>
      <c r="G6" s="32" t="s">
        <v>150</v>
      </c>
      <c r="H6" s="32" t="s">
        <v>14</v>
      </c>
      <c r="I6" s="30" t="s">
        <v>14</v>
      </c>
      <c r="J6" s="30" t="s">
        <v>14</v>
      </c>
      <c r="K6" s="30" t="s">
        <v>14</v>
      </c>
      <c r="L6" s="30" t="s">
        <v>14</v>
      </c>
      <c r="M6" s="30" t="s">
        <v>14</v>
      </c>
      <c r="N6" s="30" t="b">
        <f t="shared" si="0"/>
        <v>1</v>
      </c>
    </row>
    <row r="7" spans="1:14" ht="22.8" customHeight="1" x14ac:dyDescent="0.3">
      <c r="A7" s="31" t="s">
        <v>151</v>
      </c>
      <c r="B7" s="32" t="s">
        <v>152</v>
      </c>
      <c r="C7" s="32" t="s">
        <v>343</v>
      </c>
      <c r="D7" s="32" t="s">
        <v>14</v>
      </c>
      <c r="E7" s="32" t="s">
        <v>153</v>
      </c>
      <c r="F7" s="32" t="s">
        <v>14</v>
      </c>
      <c r="G7" s="32" t="s">
        <v>154</v>
      </c>
      <c r="H7" s="32" t="s">
        <v>14</v>
      </c>
      <c r="I7" s="30" t="s">
        <v>14</v>
      </c>
      <c r="J7" s="30" t="s">
        <v>14</v>
      </c>
      <c r="K7" s="30" t="s">
        <v>14</v>
      </c>
      <c r="L7" s="30" t="s">
        <v>14</v>
      </c>
      <c r="M7" s="30" t="s">
        <v>14</v>
      </c>
      <c r="N7" s="30" t="b">
        <f t="shared" si="0"/>
        <v>1</v>
      </c>
    </row>
    <row r="8" spans="1:14" ht="22.2" customHeight="1" x14ac:dyDescent="0.3">
      <c r="A8" s="31" t="s">
        <v>155</v>
      </c>
      <c r="B8" s="32" t="s">
        <v>156</v>
      </c>
      <c r="C8" s="32" t="s">
        <v>344</v>
      </c>
      <c r="D8" s="32" t="s">
        <v>14</v>
      </c>
      <c r="E8" s="32" t="s">
        <v>157</v>
      </c>
      <c r="F8" s="32" t="s">
        <v>14</v>
      </c>
      <c r="G8" s="32" t="s">
        <v>158</v>
      </c>
      <c r="H8" s="32" t="s">
        <v>14</v>
      </c>
      <c r="I8" s="30"/>
      <c r="J8" s="30" t="s">
        <v>14</v>
      </c>
      <c r="K8" s="30"/>
      <c r="L8" s="30" t="s">
        <v>14</v>
      </c>
      <c r="M8" s="30" t="s">
        <v>14</v>
      </c>
      <c r="N8" s="30" t="b">
        <f t="shared" si="0"/>
        <v>1</v>
      </c>
    </row>
    <row r="9" spans="1:14" ht="21" customHeight="1" x14ac:dyDescent="0.3">
      <c r="A9" s="31" t="s">
        <v>159</v>
      </c>
      <c r="B9" s="32" t="s">
        <v>160</v>
      </c>
      <c r="C9" s="32" t="s">
        <v>165</v>
      </c>
      <c r="D9" s="32" t="s">
        <v>14</v>
      </c>
      <c r="E9" s="32" t="s">
        <v>161</v>
      </c>
      <c r="F9" s="32" t="s">
        <v>14</v>
      </c>
      <c r="G9" s="32" t="s">
        <v>162</v>
      </c>
      <c r="H9" s="32" t="s">
        <v>14</v>
      </c>
      <c r="I9" s="30" t="s">
        <v>14</v>
      </c>
      <c r="J9" s="30" t="s">
        <v>14</v>
      </c>
      <c r="K9" s="30" t="s">
        <v>14</v>
      </c>
      <c r="L9" s="30" t="s">
        <v>14</v>
      </c>
      <c r="M9" s="30" t="s">
        <v>14</v>
      </c>
      <c r="N9" s="30" t="b">
        <f t="shared" si="0"/>
        <v>1</v>
      </c>
    </row>
    <row r="10" spans="1:14" ht="22.8" customHeight="1" x14ac:dyDescent="0.3">
      <c r="A10" s="31" t="s">
        <v>159</v>
      </c>
      <c r="B10" s="32" t="s">
        <v>163</v>
      </c>
      <c r="C10" s="32" t="s">
        <v>172</v>
      </c>
      <c r="D10" s="32" t="s">
        <v>14</v>
      </c>
      <c r="E10" s="32" t="s">
        <v>164</v>
      </c>
      <c r="F10" s="32" t="s">
        <v>14</v>
      </c>
      <c r="G10" s="32" t="s">
        <v>165</v>
      </c>
      <c r="H10" s="32" t="s">
        <v>14</v>
      </c>
      <c r="I10" s="30"/>
      <c r="J10" s="30"/>
      <c r="K10" s="30" t="s">
        <v>14</v>
      </c>
      <c r="L10" s="30" t="s">
        <v>14</v>
      </c>
      <c r="M10" s="30" t="s">
        <v>14</v>
      </c>
      <c r="N10" s="30" t="b">
        <f t="shared" si="0"/>
        <v>1</v>
      </c>
    </row>
    <row r="11" spans="1:14" ht="18.600000000000001" customHeight="1" x14ac:dyDescent="0.3">
      <c r="A11" s="31" t="s">
        <v>159</v>
      </c>
      <c r="B11" s="32" t="s">
        <v>166</v>
      </c>
      <c r="C11" s="32" t="s">
        <v>345</v>
      </c>
      <c r="D11" s="32" t="s">
        <v>14</v>
      </c>
      <c r="E11" s="32" t="s">
        <v>167</v>
      </c>
      <c r="F11" s="32" t="s">
        <v>14</v>
      </c>
      <c r="G11" s="32">
        <v>33</v>
      </c>
      <c r="H11" s="32" t="s">
        <v>14</v>
      </c>
      <c r="I11" s="30" t="s">
        <v>14</v>
      </c>
      <c r="J11" s="30" t="s">
        <v>14</v>
      </c>
      <c r="K11" s="30" t="s">
        <v>14</v>
      </c>
      <c r="L11" s="30" t="s">
        <v>14</v>
      </c>
      <c r="M11" s="30" t="s">
        <v>14</v>
      </c>
      <c r="N11" s="30" t="b">
        <f t="shared" si="0"/>
        <v>1</v>
      </c>
    </row>
    <row r="12" spans="1:14" ht="19.8" customHeight="1" x14ac:dyDescent="0.3">
      <c r="A12" s="31" t="s">
        <v>159</v>
      </c>
      <c r="B12" s="32" t="s">
        <v>168</v>
      </c>
      <c r="C12" s="32" t="s">
        <v>175</v>
      </c>
      <c r="D12" s="32" t="s">
        <v>14</v>
      </c>
      <c r="E12" s="32" t="s">
        <v>169</v>
      </c>
      <c r="F12" s="32" t="s">
        <v>14</v>
      </c>
      <c r="G12" s="32" t="s">
        <v>131</v>
      </c>
      <c r="H12" s="32" t="s">
        <v>14</v>
      </c>
      <c r="I12" s="30" t="s">
        <v>14</v>
      </c>
      <c r="J12" s="30" t="s">
        <v>14</v>
      </c>
      <c r="K12" s="30" t="s">
        <v>14</v>
      </c>
      <c r="L12" s="30" t="s">
        <v>14</v>
      </c>
      <c r="M12" s="30" t="s">
        <v>14</v>
      </c>
      <c r="N12" s="30" t="b">
        <f t="shared" si="0"/>
        <v>1</v>
      </c>
    </row>
    <row r="13" spans="1:14" ht="19.8" customHeight="1" x14ac:dyDescent="0.3">
      <c r="A13" s="31" t="s">
        <v>159</v>
      </c>
      <c r="B13" s="32" t="s">
        <v>170</v>
      </c>
      <c r="C13" s="32" t="s">
        <v>131</v>
      </c>
      <c r="D13" s="32" t="s">
        <v>14</v>
      </c>
      <c r="E13" s="32" t="s">
        <v>171</v>
      </c>
      <c r="F13" s="32" t="s">
        <v>14</v>
      </c>
      <c r="G13" s="32" t="s">
        <v>172</v>
      </c>
      <c r="H13" s="32" t="s">
        <v>14</v>
      </c>
      <c r="I13" s="30"/>
      <c r="J13" s="30" t="s">
        <v>14</v>
      </c>
      <c r="K13" s="30" t="s">
        <v>14</v>
      </c>
      <c r="L13" s="30" t="s">
        <v>14</v>
      </c>
      <c r="M13" s="30" t="s">
        <v>14</v>
      </c>
      <c r="N13" s="30" t="b">
        <f t="shared" si="0"/>
        <v>1</v>
      </c>
    </row>
    <row r="14" spans="1:14" ht="19.8" customHeight="1" x14ac:dyDescent="0.3">
      <c r="A14" s="31" t="s">
        <v>159</v>
      </c>
      <c r="B14" s="32" t="s">
        <v>173</v>
      </c>
      <c r="C14" s="32" t="s">
        <v>132</v>
      </c>
      <c r="D14" s="32" t="s">
        <v>14</v>
      </c>
      <c r="E14" s="32" t="s">
        <v>174</v>
      </c>
      <c r="F14" s="32" t="s">
        <v>14</v>
      </c>
      <c r="G14" s="32" t="s">
        <v>175</v>
      </c>
      <c r="H14" s="32" t="s">
        <v>14</v>
      </c>
      <c r="I14" s="30"/>
      <c r="J14" s="30" t="s">
        <v>14</v>
      </c>
      <c r="K14" s="30"/>
      <c r="L14" s="30"/>
      <c r="M14" s="30"/>
      <c r="N14" s="30" t="b">
        <f t="shared" si="0"/>
        <v>0</v>
      </c>
    </row>
    <row r="15" spans="1:14" x14ac:dyDescent="0.3">
      <c r="A15" s="33" t="s">
        <v>159</v>
      </c>
      <c r="B15" s="32" t="s">
        <v>176</v>
      </c>
      <c r="C15" s="32"/>
      <c r="D15" s="30"/>
      <c r="E15" s="32"/>
      <c r="F15" s="30"/>
      <c r="G15" s="32"/>
      <c r="H15" s="32"/>
      <c r="I15" s="30"/>
      <c r="J15" s="30"/>
      <c r="K15" s="30"/>
      <c r="L15" s="30"/>
      <c r="M15" s="30" t="s">
        <v>14</v>
      </c>
      <c r="N15" s="30" t="b">
        <f t="shared" si="0"/>
        <v>0</v>
      </c>
    </row>
    <row r="16" spans="1:14" ht="18.600000000000001" customHeight="1" x14ac:dyDescent="0.3">
      <c r="A16" s="33" t="s">
        <v>159</v>
      </c>
      <c r="B16" s="34" t="s">
        <v>177</v>
      </c>
      <c r="C16" s="34"/>
      <c r="D16" s="30"/>
      <c r="E16" s="34" t="s">
        <v>178</v>
      </c>
      <c r="F16" s="30" t="s">
        <v>14</v>
      </c>
      <c r="G16" s="32"/>
      <c r="H16" s="30"/>
      <c r="I16" s="30" t="s">
        <v>14</v>
      </c>
      <c r="J16" s="30" t="s">
        <v>14</v>
      </c>
      <c r="K16" s="30" t="s">
        <v>14</v>
      </c>
      <c r="L16" s="30" t="s">
        <v>14</v>
      </c>
      <c r="M16" s="30" t="s">
        <v>14</v>
      </c>
      <c r="N16" s="30" t="b">
        <f t="shared" si="0"/>
        <v>1</v>
      </c>
    </row>
    <row r="17" spans="1:14" x14ac:dyDescent="0.3">
      <c r="A17" s="33" t="s">
        <v>179</v>
      </c>
      <c r="B17" s="32" t="s">
        <v>180</v>
      </c>
      <c r="C17" s="32">
        <v>58</v>
      </c>
      <c r="D17" s="30" t="s">
        <v>14</v>
      </c>
      <c r="E17" s="32">
        <v>46</v>
      </c>
      <c r="F17" s="30" t="s">
        <v>14</v>
      </c>
      <c r="G17" s="32">
        <v>34</v>
      </c>
      <c r="H17" s="30" t="s">
        <v>14</v>
      </c>
      <c r="I17" s="30" t="s">
        <v>14</v>
      </c>
      <c r="J17" s="30"/>
      <c r="K17" s="30"/>
      <c r="L17" s="30"/>
      <c r="M17" s="30" t="s">
        <v>14</v>
      </c>
      <c r="N17" s="30" t="b">
        <f t="shared" si="0"/>
        <v>1</v>
      </c>
    </row>
    <row r="18" spans="1:14" x14ac:dyDescent="0.3">
      <c r="A18" s="33" t="s">
        <v>179</v>
      </c>
      <c r="B18" s="32" t="s">
        <v>181</v>
      </c>
      <c r="C18" s="32">
        <v>25</v>
      </c>
      <c r="D18" s="30" t="s">
        <v>14</v>
      </c>
      <c r="E18" s="32">
        <v>50</v>
      </c>
      <c r="F18" s="30" t="s">
        <v>14</v>
      </c>
      <c r="G18" s="32">
        <v>23</v>
      </c>
      <c r="H18" s="30" t="s">
        <v>14</v>
      </c>
      <c r="I18" s="30" t="s">
        <v>14</v>
      </c>
      <c r="J18" s="30" t="s">
        <v>14</v>
      </c>
      <c r="K18" s="30" t="s">
        <v>14</v>
      </c>
      <c r="L18" s="30" t="s">
        <v>14</v>
      </c>
      <c r="M18" s="30" t="s">
        <v>14</v>
      </c>
      <c r="N18" s="30" t="b">
        <f t="shared" si="0"/>
        <v>1</v>
      </c>
    </row>
    <row r="19" spans="1:14" x14ac:dyDescent="0.3">
      <c r="A19" s="33" t="s">
        <v>179</v>
      </c>
      <c r="B19" s="32" t="s">
        <v>182</v>
      </c>
      <c r="C19" s="32">
        <v>30</v>
      </c>
      <c r="D19" s="30" t="s">
        <v>14</v>
      </c>
      <c r="E19" s="32">
        <v>39</v>
      </c>
      <c r="F19" s="30" t="s">
        <v>14</v>
      </c>
      <c r="G19" s="32">
        <v>25</v>
      </c>
      <c r="H19" s="30" t="s">
        <v>14</v>
      </c>
      <c r="I19" s="30"/>
      <c r="J19" s="30"/>
      <c r="K19" s="30"/>
      <c r="L19" s="30" t="s">
        <v>14</v>
      </c>
      <c r="M19" s="30"/>
      <c r="N19" s="30" t="b">
        <f t="shared" si="0"/>
        <v>0</v>
      </c>
    </row>
    <row r="20" spans="1:14" x14ac:dyDescent="0.3">
      <c r="A20" s="33" t="s">
        <v>179</v>
      </c>
      <c r="B20" s="32" t="s">
        <v>183</v>
      </c>
      <c r="C20" s="32"/>
      <c r="D20" s="30"/>
      <c r="E20" s="32"/>
      <c r="F20" s="30"/>
      <c r="G20" s="32"/>
      <c r="H20" s="30"/>
      <c r="I20" s="30"/>
      <c r="J20" s="30" t="s">
        <v>14</v>
      </c>
      <c r="K20" s="30"/>
      <c r="L20" s="30"/>
      <c r="M20" s="30"/>
      <c r="N20" s="30" t="b">
        <f t="shared" si="0"/>
        <v>0</v>
      </c>
    </row>
    <row r="21" spans="1:14" x14ac:dyDescent="0.3">
      <c r="A21" s="33" t="s">
        <v>179</v>
      </c>
      <c r="B21" s="32" t="s">
        <v>176</v>
      </c>
      <c r="C21" s="35">
        <v>13</v>
      </c>
      <c r="D21" s="30" t="s">
        <v>14</v>
      </c>
      <c r="E21" s="32"/>
      <c r="F21" s="30"/>
      <c r="G21" s="32"/>
      <c r="H21" s="30"/>
      <c r="I21" s="30" t="s">
        <v>14</v>
      </c>
      <c r="J21" s="30"/>
      <c r="K21" s="30"/>
      <c r="L21" s="30"/>
      <c r="M21" s="30"/>
      <c r="N21" s="30" t="b">
        <f t="shared" si="0"/>
        <v>0</v>
      </c>
    </row>
    <row r="22" spans="1:14" x14ac:dyDescent="0.3">
      <c r="A22" s="33" t="s">
        <v>179</v>
      </c>
      <c r="B22" s="32" t="s">
        <v>184</v>
      </c>
      <c r="C22" s="32">
        <v>11</v>
      </c>
      <c r="D22" s="30" t="s">
        <v>14</v>
      </c>
      <c r="E22" s="32" t="s">
        <v>185</v>
      </c>
      <c r="F22" s="30" t="s">
        <v>14</v>
      </c>
      <c r="G22" s="32">
        <v>11</v>
      </c>
      <c r="H22" s="30" t="s">
        <v>14</v>
      </c>
      <c r="I22" s="30"/>
      <c r="J22" s="30" t="s">
        <v>14</v>
      </c>
      <c r="K22" s="30"/>
      <c r="L22" s="30"/>
      <c r="M22" s="30" t="s">
        <v>14</v>
      </c>
      <c r="N22" s="30" t="b">
        <f t="shared" si="0"/>
        <v>1</v>
      </c>
    </row>
    <row r="23" spans="1:14" x14ac:dyDescent="0.3">
      <c r="A23" s="33" t="s">
        <v>179</v>
      </c>
      <c r="B23" s="32" t="s">
        <v>186</v>
      </c>
      <c r="C23" s="32"/>
      <c r="D23" s="30"/>
      <c r="E23" s="32"/>
      <c r="F23" s="30"/>
      <c r="G23" s="36"/>
      <c r="H23" s="30"/>
      <c r="I23" s="30"/>
      <c r="J23" s="30"/>
      <c r="K23" s="30"/>
      <c r="L23" s="30"/>
      <c r="M23" s="30" t="s">
        <v>14</v>
      </c>
      <c r="N23" s="30" t="b">
        <f t="shared" si="0"/>
        <v>0</v>
      </c>
    </row>
    <row r="24" spans="1:14" x14ac:dyDescent="0.3">
      <c r="A24" s="33" t="s">
        <v>179</v>
      </c>
      <c r="B24" s="34" t="s">
        <v>187</v>
      </c>
      <c r="C24" s="35" t="s">
        <v>377</v>
      </c>
      <c r="D24" s="30" t="s">
        <v>14</v>
      </c>
      <c r="E24" s="34">
        <v>27</v>
      </c>
      <c r="F24" s="30" t="s">
        <v>14</v>
      </c>
      <c r="G24" s="32">
        <v>22</v>
      </c>
      <c r="H24" s="30" t="s">
        <v>14</v>
      </c>
      <c r="I24" s="30" t="s">
        <v>14</v>
      </c>
      <c r="J24" s="30" t="s">
        <v>14</v>
      </c>
      <c r="K24" s="30" t="s">
        <v>14</v>
      </c>
      <c r="L24" s="30"/>
      <c r="M24" s="30" t="s">
        <v>14</v>
      </c>
      <c r="N24" s="30" t="b">
        <f t="shared" si="0"/>
        <v>1</v>
      </c>
    </row>
    <row r="25" spans="1:14" x14ac:dyDescent="0.3">
      <c r="A25" s="33" t="s">
        <v>188</v>
      </c>
      <c r="B25" s="32" t="s">
        <v>189</v>
      </c>
      <c r="C25" s="32"/>
      <c r="D25" s="30"/>
      <c r="E25" s="32">
        <v>53</v>
      </c>
      <c r="F25" s="30" t="s">
        <v>14</v>
      </c>
      <c r="G25" s="32"/>
      <c r="H25" s="30"/>
      <c r="I25" s="30" t="s">
        <v>14</v>
      </c>
      <c r="J25" s="30" t="s">
        <v>14</v>
      </c>
      <c r="K25" s="30" t="s">
        <v>14</v>
      </c>
      <c r="L25" s="30" t="s">
        <v>14</v>
      </c>
      <c r="M25" s="30" t="s">
        <v>14</v>
      </c>
      <c r="N25" s="30" t="b">
        <f t="shared" si="0"/>
        <v>1</v>
      </c>
    </row>
    <row r="26" spans="1:14" x14ac:dyDescent="0.3">
      <c r="A26" s="33" t="s">
        <v>188</v>
      </c>
      <c r="B26" s="32" t="s">
        <v>190</v>
      </c>
      <c r="C26" s="32">
        <v>38</v>
      </c>
      <c r="D26" s="30" t="s">
        <v>14</v>
      </c>
      <c r="E26" s="32">
        <v>41</v>
      </c>
      <c r="F26" s="30" t="s">
        <v>14</v>
      </c>
      <c r="G26" s="32">
        <v>31</v>
      </c>
      <c r="H26" s="30" t="s">
        <v>14</v>
      </c>
      <c r="I26" s="30" t="s">
        <v>14</v>
      </c>
      <c r="J26" s="30" t="s">
        <v>14</v>
      </c>
      <c r="K26" s="30" t="s">
        <v>14</v>
      </c>
      <c r="L26" s="30"/>
      <c r="M26" s="30" t="s">
        <v>14</v>
      </c>
      <c r="N26" s="30" t="b">
        <f t="shared" si="0"/>
        <v>1</v>
      </c>
    </row>
    <row r="27" spans="1:14" x14ac:dyDescent="0.3">
      <c r="A27" s="33" t="s">
        <v>188</v>
      </c>
      <c r="B27" s="32" t="s">
        <v>191</v>
      </c>
      <c r="C27" s="32">
        <v>44</v>
      </c>
      <c r="D27" s="30" t="s">
        <v>14</v>
      </c>
      <c r="E27" s="32">
        <v>10</v>
      </c>
      <c r="F27" s="30" t="s">
        <v>14</v>
      </c>
      <c r="G27" s="32">
        <v>35</v>
      </c>
      <c r="H27" s="30" t="s">
        <v>14</v>
      </c>
      <c r="I27" s="30" t="s">
        <v>14</v>
      </c>
      <c r="J27" s="30" t="s">
        <v>14</v>
      </c>
      <c r="K27" s="30" t="s">
        <v>14</v>
      </c>
      <c r="L27" s="30" t="s">
        <v>14</v>
      </c>
      <c r="M27" s="30" t="s">
        <v>14</v>
      </c>
      <c r="N27" s="30" t="b">
        <f t="shared" si="0"/>
        <v>1</v>
      </c>
    </row>
    <row r="28" spans="1:14" x14ac:dyDescent="0.3">
      <c r="A28" s="33" t="s">
        <v>188</v>
      </c>
      <c r="B28" s="32" t="s">
        <v>192</v>
      </c>
      <c r="C28" s="32">
        <v>31</v>
      </c>
      <c r="D28" s="30" t="s">
        <v>14</v>
      </c>
      <c r="E28" s="32">
        <v>52</v>
      </c>
      <c r="F28" s="30" t="s">
        <v>14</v>
      </c>
      <c r="G28" s="32">
        <v>37</v>
      </c>
      <c r="H28" s="30" t="s">
        <v>14</v>
      </c>
      <c r="I28" s="30" t="s">
        <v>14</v>
      </c>
      <c r="J28" s="30" t="s">
        <v>14</v>
      </c>
      <c r="K28" s="30" t="s">
        <v>14</v>
      </c>
      <c r="L28" s="30" t="s">
        <v>14</v>
      </c>
      <c r="M28" s="30" t="s">
        <v>14</v>
      </c>
      <c r="N28" s="30" t="b">
        <f t="shared" si="0"/>
        <v>1</v>
      </c>
    </row>
    <row r="29" spans="1:14" ht="19.8" customHeight="1" x14ac:dyDescent="0.3">
      <c r="A29" s="37" t="s">
        <v>188</v>
      </c>
      <c r="B29" s="32" t="s">
        <v>193</v>
      </c>
      <c r="C29" s="32">
        <v>42</v>
      </c>
      <c r="D29" s="32" t="s">
        <v>14</v>
      </c>
      <c r="E29" s="32" t="s">
        <v>194</v>
      </c>
      <c r="F29" s="32" t="s">
        <v>14</v>
      </c>
      <c r="G29" s="32" t="s">
        <v>195</v>
      </c>
      <c r="H29" s="32" t="s">
        <v>14</v>
      </c>
      <c r="I29" s="30" t="s">
        <v>14</v>
      </c>
      <c r="J29" s="30" t="s">
        <v>14</v>
      </c>
      <c r="K29" s="30" t="s">
        <v>14</v>
      </c>
      <c r="L29" s="30" t="s">
        <v>14</v>
      </c>
      <c r="M29" s="30" t="s">
        <v>14</v>
      </c>
      <c r="N29" s="30" t="b">
        <f t="shared" si="0"/>
        <v>1</v>
      </c>
    </row>
    <row r="30" spans="1:14" ht="15" customHeight="1" x14ac:dyDescent="0.3">
      <c r="A30" s="37" t="s">
        <v>188</v>
      </c>
      <c r="B30" s="32" t="s">
        <v>196</v>
      </c>
      <c r="C30" s="32">
        <v>34</v>
      </c>
      <c r="D30" s="32" t="s">
        <v>14</v>
      </c>
      <c r="E30" s="32" t="s">
        <v>197</v>
      </c>
      <c r="F30" s="32" t="s">
        <v>14</v>
      </c>
      <c r="G30" s="32" t="s">
        <v>198</v>
      </c>
      <c r="H30" s="32"/>
      <c r="I30" s="30"/>
      <c r="J30" s="30"/>
      <c r="K30" s="30"/>
      <c r="L30" s="30"/>
      <c r="M30" s="30" t="s">
        <v>14</v>
      </c>
      <c r="N30" s="30" t="b">
        <f t="shared" si="0"/>
        <v>0</v>
      </c>
    </row>
    <row r="31" spans="1:14" ht="14.4" customHeight="1" x14ac:dyDescent="0.3">
      <c r="A31" s="37" t="s">
        <v>188</v>
      </c>
      <c r="B31" s="32" t="s">
        <v>199</v>
      </c>
      <c r="C31" s="32">
        <v>33</v>
      </c>
      <c r="D31" s="32" t="s">
        <v>14</v>
      </c>
      <c r="E31" s="32">
        <v>45</v>
      </c>
      <c r="F31" s="32" t="s">
        <v>14</v>
      </c>
      <c r="G31" s="32">
        <v>48</v>
      </c>
      <c r="H31" s="32" t="s">
        <v>14</v>
      </c>
      <c r="I31" s="30" t="s">
        <v>14</v>
      </c>
      <c r="J31" s="30"/>
      <c r="K31" s="30"/>
      <c r="L31" s="30"/>
      <c r="M31" s="30"/>
      <c r="N31" s="30" t="b">
        <f t="shared" si="0"/>
        <v>0</v>
      </c>
    </row>
    <row r="32" spans="1:14" x14ac:dyDescent="0.3">
      <c r="A32" s="30" t="s">
        <v>188</v>
      </c>
      <c r="B32" s="32" t="s">
        <v>200</v>
      </c>
      <c r="C32" s="32">
        <v>40</v>
      </c>
      <c r="D32" s="32" t="s">
        <v>14</v>
      </c>
      <c r="E32" s="32"/>
      <c r="F32" s="32"/>
      <c r="G32" s="32"/>
      <c r="H32" s="32"/>
      <c r="I32" s="30"/>
      <c r="J32" s="30" t="s">
        <v>14</v>
      </c>
      <c r="K32" s="30"/>
      <c r="L32" s="30" t="s">
        <v>14</v>
      </c>
      <c r="M32" s="30"/>
      <c r="N32" s="30" t="b">
        <f t="shared" si="0"/>
        <v>1</v>
      </c>
    </row>
    <row r="33" spans="1:14" x14ac:dyDescent="0.3">
      <c r="A33" s="30" t="s">
        <v>201</v>
      </c>
      <c r="B33" s="32" t="s">
        <v>202</v>
      </c>
      <c r="C33" s="32">
        <v>3</v>
      </c>
      <c r="D33" s="32" t="s">
        <v>14</v>
      </c>
      <c r="E33" s="32">
        <v>23</v>
      </c>
      <c r="F33" s="32" t="s">
        <v>14</v>
      </c>
      <c r="G33" s="32">
        <v>18</v>
      </c>
      <c r="H33" s="32" t="s">
        <v>14</v>
      </c>
      <c r="I33" s="30"/>
      <c r="J33" s="30" t="s">
        <v>14</v>
      </c>
      <c r="K33" s="30"/>
      <c r="L33" s="30" t="s">
        <v>14</v>
      </c>
      <c r="M33" s="30"/>
      <c r="N33" s="30" t="b">
        <f t="shared" si="0"/>
        <v>1</v>
      </c>
    </row>
    <row r="34" spans="1:14" x14ac:dyDescent="0.3">
      <c r="A34" s="30" t="s">
        <v>201</v>
      </c>
      <c r="B34" s="32" t="s">
        <v>203</v>
      </c>
      <c r="C34" s="32" t="s">
        <v>279</v>
      </c>
      <c r="D34" s="32" t="s">
        <v>14</v>
      </c>
      <c r="E34" s="32">
        <v>25</v>
      </c>
      <c r="F34" s="32" t="s">
        <v>14</v>
      </c>
      <c r="G34" s="32">
        <v>25</v>
      </c>
      <c r="H34" s="32" t="s">
        <v>14</v>
      </c>
      <c r="I34" s="30"/>
      <c r="J34" s="30" t="s">
        <v>14</v>
      </c>
      <c r="K34" s="30"/>
      <c r="L34" s="30"/>
      <c r="M34" s="30" t="s">
        <v>14</v>
      </c>
      <c r="N34" s="30" t="b">
        <f t="shared" si="0"/>
        <v>1</v>
      </c>
    </row>
    <row r="35" spans="1:14" x14ac:dyDescent="0.3">
      <c r="A35" s="30" t="s">
        <v>201</v>
      </c>
      <c r="B35" s="32" t="s">
        <v>204</v>
      </c>
      <c r="C35" s="32"/>
      <c r="D35" s="32"/>
      <c r="E35" s="32" t="s">
        <v>205</v>
      </c>
      <c r="F35" s="32" t="s">
        <v>14</v>
      </c>
      <c r="G35" s="32"/>
      <c r="H35" s="32"/>
      <c r="I35" s="30" t="s">
        <v>14</v>
      </c>
      <c r="J35" s="30" t="s">
        <v>14</v>
      </c>
      <c r="K35" s="30" t="s">
        <v>14</v>
      </c>
      <c r="L35" s="30" t="s">
        <v>14</v>
      </c>
      <c r="M35" s="30"/>
      <c r="N35" s="30" t="b">
        <f t="shared" si="0"/>
        <v>1</v>
      </c>
    </row>
    <row r="36" spans="1:14" x14ac:dyDescent="0.3">
      <c r="A36" s="30" t="s">
        <v>206</v>
      </c>
      <c r="B36" s="32" t="s">
        <v>207</v>
      </c>
      <c r="C36" s="32">
        <v>53</v>
      </c>
      <c r="D36" s="32" t="s">
        <v>14</v>
      </c>
      <c r="E36" s="32">
        <v>60</v>
      </c>
      <c r="F36" s="32" t="s">
        <v>14</v>
      </c>
      <c r="G36" s="32">
        <v>48</v>
      </c>
      <c r="H36" s="32" t="s">
        <v>14</v>
      </c>
      <c r="I36" s="30" t="s">
        <v>14</v>
      </c>
      <c r="J36" s="30"/>
      <c r="K36" s="30"/>
      <c r="L36" s="30"/>
      <c r="M36" s="30" t="s">
        <v>14</v>
      </c>
      <c r="N36" s="30" t="b">
        <f t="shared" si="0"/>
        <v>1</v>
      </c>
    </row>
    <row r="37" spans="1:14" x14ac:dyDescent="0.3">
      <c r="A37" s="30" t="s">
        <v>206</v>
      </c>
      <c r="B37" s="32" t="s">
        <v>208</v>
      </c>
      <c r="C37" s="32">
        <v>51</v>
      </c>
      <c r="D37" s="32" t="s">
        <v>14</v>
      </c>
      <c r="E37" s="32">
        <v>58</v>
      </c>
      <c r="F37" s="32" t="s">
        <v>14</v>
      </c>
      <c r="G37" s="32">
        <v>40</v>
      </c>
      <c r="H37" s="32" t="s">
        <v>14</v>
      </c>
      <c r="I37" s="30" t="s">
        <v>14</v>
      </c>
      <c r="J37" s="30"/>
      <c r="K37" s="30"/>
      <c r="L37" s="30"/>
      <c r="M37" s="30" t="s">
        <v>14</v>
      </c>
      <c r="N37" s="30" t="b">
        <f t="shared" si="0"/>
        <v>1</v>
      </c>
    </row>
    <row r="38" spans="1:14" x14ac:dyDescent="0.3">
      <c r="A38" s="30" t="s">
        <v>206</v>
      </c>
      <c r="B38" s="32" t="s">
        <v>209</v>
      </c>
      <c r="C38" s="32">
        <v>52</v>
      </c>
      <c r="D38" s="32" t="s">
        <v>14</v>
      </c>
      <c r="E38" s="32">
        <v>59</v>
      </c>
      <c r="F38" s="32" t="s">
        <v>14</v>
      </c>
      <c r="G38" s="32">
        <v>38</v>
      </c>
      <c r="H38" s="32" t="s">
        <v>14</v>
      </c>
      <c r="I38" s="30" t="s">
        <v>14</v>
      </c>
      <c r="J38" s="30"/>
      <c r="K38" s="30" t="s">
        <v>14</v>
      </c>
      <c r="L38" s="30"/>
      <c r="M38" s="30" t="s">
        <v>14</v>
      </c>
      <c r="N38" s="30" t="b">
        <f t="shared" si="0"/>
        <v>1</v>
      </c>
    </row>
    <row r="39" spans="1:14" x14ac:dyDescent="0.3">
      <c r="A39" s="30" t="s">
        <v>206</v>
      </c>
      <c r="B39" s="32" t="s">
        <v>210</v>
      </c>
      <c r="C39" s="32">
        <v>50</v>
      </c>
      <c r="D39" s="32" t="s">
        <v>14</v>
      </c>
      <c r="E39" s="32">
        <v>10</v>
      </c>
      <c r="F39" s="32" t="s">
        <v>14</v>
      </c>
      <c r="G39" s="32">
        <v>39</v>
      </c>
      <c r="H39" s="32" t="s">
        <v>14</v>
      </c>
      <c r="I39" s="30" t="s">
        <v>14</v>
      </c>
      <c r="J39" s="30"/>
      <c r="K39" s="30" t="s">
        <v>14</v>
      </c>
      <c r="L39" s="30" t="s">
        <v>14</v>
      </c>
      <c r="M39" s="30" t="s">
        <v>14</v>
      </c>
      <c r="N39" s="30" t="b">
        <f t="shared" si="0"/>
        <v>1</v>
      </c>
    </row>
    <row r="40" spans="1:14" x14ac:dyDescent="0.3">
      <c r="A40" s="30" t="s">
        <v>206</v>
      </c>
      <c r="B40" s="32" t="s">
        <v>211</v>
      </c>
      <c r="C40" s="32" t="s">
        <v>205</v>
      </c>
      <c r="D40" s="32" t="s">
        <v>14</v>
      </c>
      <c r="E40" s="32" t="s">
        <v>172</v>
      </c>
      <c r="F40" s="32" t="s">
        <v>14</v>
      </c>
      <c r="G40" s="32" t="s">
        <v>212</v>
      </c>
      <c r="H40" s="32" t="s">
        <v>14</v>
      </c>
      <c r="I40" s="30"/>
      <c r="J40" s="30"/>
      <c r="K40" s="30"/>
      <c r="L40" s="30"/>
      <c r="M40" s="30" t="s">
        <v>14</v>
      </c>
      <c r="N40" s="30" t="b">
        <f t="shared" si="0"/>
        <v>0</v>
      </c>
    </row>
    <row r="41" spans="1:14" x14ac:dyDescent="0.3">
      <c r="A41" s="30" t="s">
        <v>206</v>
      </c>
      <c r="B41" s="32" t="s">
        <v>213</v>
      </c>
      <c r="C41" s="32">
        <v>55</v>
      </c>
      <c r="D41" s="32" t="s">
        <v>14</v>
      </c>
      <c r="E41" s="32">
        <v>9</v>
      </c>
      <c r="F41" s="32" t="s">
        <v>14</v>
      </c>
      <c r="G41" s="32">
        <v>44</v>
      </c>
      <c r="H41" s="32" t="s">
        <v>14</v>
      </c>
      <c r="I41" s="30"/>
      <c r="J41" s="30"/>
      <c r="K41" s="30" t="s">
        <v>14</v>
      </c>
      <c r="L41" s="30"/>
      <c r="M41" s="30"/>
      <c r="N41" s="30" t="b">
        <f t="shared" si="0"/>
        <v>0</v>
      </c>
    </row>
  </sheetData>
  <conditionalFormatting sqref="A3:B41 G3:M14 E15:M41">
    <cfRule type="expression" dxfId="7" priority="9">
      <formula>$N2=1</formula>
    </cfRule>
  </conditionalFormatting>
  <conditionalFormatting sqref="A2:B2 G2:M2">
    <cfRule type="expression" dxfId="6" priority="12">
      <formula>#REF!=1</formula>
    </cfRule>
  </conditionalFormatting>
  <conditionalFormatting sqref="E2:F2 F3:F14">
    <cfRule type="expression" dxfId="5" priority="8">
      <formula>#REF!=1</formula>
    </cfRule>
  </conditionalFormatting>
  <conditionalFormatting sqref="E3:E14">
    <cfRule type="expression" dxfId="4" priority="7">
      <formula>$N2=1</formula>
    </cfRule>
  </conditionalFormatting>
  <conditionalFormatting sqref="C15:D16 C29:D41">
    <cfRule type="expression" dxfId="3" priority="6">
      <formula>$N14=1</formula>
    </cfRule>
  </conditionalFormatting>
  <conditionalFormatting sqref="C2:D2 D3:D14">
    <cfRule type="expression" dxfId="2" priority="3">
      <formula>#REF!=1</formula>
    </cfRule>
  </conditionalFormatting>
  <conditionalFormatting sqref="C3:C14">
    <cfRule type="expression" dxfId="1" priority="2">
      <formula>$N2=1</formula>
    </cfRule>
  </conditionalFormatting>
  <conditionalFormatting sqref="C17:D28">
    <cfRule type="expression" dxfId="0" priority="1">
      <formula>$N16=1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5"/>
  <sheetViews>
    <sheetView topLeftCell="B1" workbookViewId="0">
      <selection activeCell="L1" sqref="L1:L1048576"/>
    </sheetView>
  </sheetViews>
  <sheetFormatPr defaultRowHeight="14.4" x14ac:dyDescent="0.3"/>
  <cols>
    <col min="1" max="1" width="30" customWidth="1"/>
    <col min="2" max="2" width="68" customWidth="1"/>
    <col min="3" max="3" width="13.6640625" customWidth="1"/>
    <col min="4" max="4" width="4.6640625" customWidth="1"/>
    <col min="5" max="5" width="16" customWidth="1"/>
    <col min="6" max="6" width="18" customWidth="1"/>
    <col min="7" max="7" width="16" customWidth="1"/>
    <col min="8" max="8" width="13.44140625" customWidth="1"/>
    <col min="9" max="9" width="6" customWidth="1"/>
    <col min="10" max="10" width="5.6640625" customWidth="1"/>
    <col min="11" max="11" width="5.88671875" customWidth="1"/>
    <col min="12" max="12" width="18" customWidth="1"/>
  </cols>
  <sheetData>
    <row r="1" spans="1:12" ht="43.2" x14ac:dyDescent="0.3">
      <c r="A1" s="4" t="s">
        <v>0</v>
      </c>
      <c r="B1" s="4" t="s">
        <v>77</v>
      </c>
      <c r="C1" s="5" t="s">
        <v>78</v>
      </c>
      <c r="D1" s="5" t="s">
        <v>219</v>
      </c>
      <c r="E1" s="6" t="s">
        <v>78</v>
      </c>
      <c r="F1" s="6" t="s">
        <v>80</v>
      </c>
      <c r="G1" s="7" t="s">
        <v>78</v>
      </c>
      <c r="H1" s="7" t="s">
        <v>276</v>
      </c>
      <c r="I1" s="56" t="s">
        <v>7</v>
      </c>
      <c r="J1" s="52" t="s">
        <v>8</v>
      </c>
      <c r="K1" s="47" t="s">
        <v>9</v>
      </c>
      <c r="L1" s="4" t="s">
        <v>79</v>
      </c>
    </row>
    <row r="2" spans="1:12" ht="15.6" customHeight="1" x14ac:dyDescent="0.3">
      <c r="A2" s="12" t="s">
        <v>250</v>
      </c>
      <c r="B2" s="12" t="s">
        <v>251</v>
      </c>
      <c r="C2" s="14" t="s">
        <v>308</v>
      </c>
      <c r="D2" s="14" t="s">
        <v>14</v>
      </c>
      <c r="E2" s="15" t="s">
        <v>309</v>
      </c>
      <c r="F2" s="15" t="s">
        <v>14</v>
      </c>
      <c r="G2" s="16" t="s">
        <v>310</v>
      </c>
      <c r="H2" s="16" t="s">
        <v>14</v>
      </c>
      <c r="I2" s="55" t="s">
        <v>14</v>
      </c>
      <c r="J2" s="53" t="s">
        <v>14</v>
      </c>
      <c r="K2" s="48" t="s">
        <v>14</v>
      </c>
      <c r="L2" s="55" t="b">
        <v>1</v>
      </c>
    </row>
    <row r="3" spans="1:12" x14ac:dyDescent="0.3">
      <c r="A3" s="12" t="s">
        <v>250</v>
      </c>
      <c r="B3" s="12" t="s">
        <v>252</v>
      </c>
      <c r="C3" s="14" t="s">
        <v>311</v>
      </c>
      <c r="D3" s="14" t="s">
        <v>14</v>
      </c>
      <c r="E3" s="15" t="s">
        <v>312</v>
      </c>
      <c r="F3" s="15" t="s">
        <v>14</v>
      </c>
      <c r="G3" s="16" t="s">
        <v>313</v>
      </c>
      <c r="H3" s="16" t="s">
        <v>14</v>
      </c>
      <c r="I3" s="55" t="s">
        <v>14</v>
      </c>
      <c r="J3" s="53" t="s">
        <v>14</v>
      </c>
      <c r="K3" s="48"/>
      <c r="L3" s="55" t="b">
        <v>1</v>
      </c>
    </row>
    <row r="4" spans="1:12" x14ac:dyDescent="0.3">
      <c r="A4" s="12" t="s">
        <v>250</v>
      </c>
      <c r="B4" s="12" t="s">
        <v>253</v>
      </c>
      <c r="C4" s="14" t="s">
        <v>314</v>
      </c>
      <c r="D4" s="14" t="s">
        <v>14</v>
      </c>
      <c r="E4" s="15" t="s">
        <v>315</v>
      </c>
      <c r="F4" s="15" t="s">
        <v>14</v>
      </c>
      <c r="G4" s="16" t="s">
        <v>316</v>
      </c>
      <c r="H4" s="16" t="s">
        <v>14</v>
      </c>
      <c r="I4" s="55" t="s">
        <v>14</v>
      </c>
      <c r="J4" s="53" t="s">
        <v>14</v>
      </c>
      <c r="K4" s="48" t="s">
        <v>14</v>
      </c>
      <c r="L4" s="55" t="b">
        <v>1</v>
      </c>
    </row>
    <row r="5" spans="1:12" x14ac:dyDescent="0.3">
      <c r="A5" s="12" t="s">
        <v>250</v>
      </c>
      <c r="B5" s="12" t="s">
        <v>254</v>
      </c>
      <c r="C5" s="14" t="s">
        <v>317</v>
      </c>
      <c r="D5" s="14" t="s">
        <v>14</v>
      </c>
      <c r="E5" s="15" t="s">
        <v>318</v>
      </c>
      <c r="F5" s="15" t="s">
        <v>14</v>
      </c>
      <c r="G5" s="16" t="s">
        <v>319</v>
      </c>
      <c r="H5" s="16" t="s">
        <v>14</v>
      </c>
      <c r="I5" s="55" t="s">
        <v>14</v>
      </c>
      <c r="J5" s="53" t="s">
        <v>14</v>
      </c>
      <c r="K5" s="48" t="s">
        <v>14</v>
      </c>
      <c r="L5" s="55" t="b">
        <v>1</v>
      </c>
    </row>
    <row r="6" spans="1:12" x14ac:dyDescent="0.3">
      <c r="A6" s="12" t="s">
        <v>250</v>
      </c>
      <c r="B6" s="12" t="s">
        <v>255</v>
      </c>
      <c r="C6" s="14" t="s">
        <v>320</v>
      </c>
      <c r="D6" s="14" t="s">
        <v>14</v>
      </c>
      <c r="E6" s="15" t="s">
        <v>321</v>
      </c>
      <c r="F6" s="15" t="s">
        <v>14</v>
      </c>
      <c r="G6" s="16" t="s">
        <v>322</v>
      </c>
      <c r="H6" s="16" t="s">
        <v>14</v>
      </c>
      <c r="I6" s="55" t="s">
        <v>14</v>
      </c>
      <c r="J6" s="53"/>
      <c r="K6" s="48"/>
      <c r="L6" s="55" t="b">
        <v>1</v>
      </c>
    </row>
    <row r="7" spans="1:12" x14ac:dyDescent="0.3">
      <c r="A7" s="12" t="s">
        <v>250</v>
      </c>
      <c r="B7" s="12" t="s">
        <v>256</v>
      </c>
      <c r="C7" s="14" t="s">
        <v>323</v>
      </c>
      <c r="D7" s="14" t="s">
        <v>14</v>
      </c>
      <c r="E7" s="15" t="s">
        <v>324</v>
      </c>
      <c r="F7" s="15" t="s">
        <v>14</v>
      </c>
      <c r="G7" s="16" t="s">
        <v>325</v>
      </c>
      <c r="H7" s="16" t="s">
        <v>14</v>
      </c>
      <c r="I7" s="55"/>
      <c r="J7" s="53" t="s">
        <v>14</v>
      </c>
      <c r="K7" s="48" t="s">
        <v>14</v>
      </c>
      <c r="L7" s="55" t="b">
        <v>1</v>
      </c>
    </row>
    <row r="8" spans="1:12" x14ac:dyDescent="0.3">
      <c r="A8" s="12" t="s">
        <v>250</v>
      </c>
      <c r="B8" s="12" t="s">
        <v>257</v>
      </c>
      <c r="C8" s="14" t="s">
        <v>326</v>
      </c>
      <c r="D8" s="14" t="s">
        <v>14</v>
      </c>
      <c r="E8" s="15" t="s">
        <v>327</v>
      </c>
      <c r="F8" s="15" t="s">
        <v>14</v>
      </c>
      <c r="G8" s="16" t="s">
        <v>328</v>
      </c>
      <c r="H8" s="16" t="s">
        <v>14</v>
      </c>
      <c r="I8" s="55" t="s">
        <v>14</v>
      </c>
      <c r="J8" s="53" t="s">
        <v>14</v>
      </c>
      <c r="K8" s="48" t="s">
        <v>14</v>
      </c>
      <c r="L8" s="55" t="b">
        <v>1</v>
      </c>
    </row>
    <row r="9" spans="1:12" ht="16.2" customHeight="1" x14ac:dyDescent="0.3">
      <c r="A9" s="12" t="s">
        <v>250</v>
      </c>
      <c r="B9" s="12" t="s">
        <v>258</v>
      </c>
      <c r="C9" s="14" t="s">
        <v>329</v>
      </c>
      <c r="D9" s="14" t="s">
        <v>14</v>
      </c>
      <c r="E9" s="15" t="s">
        <v>330</v>
      </c>
      <c r="F9" s="15" t="s">
        <v>14</v>
      </c>
      <c r="G9" s="16" t="s">
        <v>331</v>
      </c>
      <c r="H9" s="16" t="s">
        <v>14</v>
      </c>
      <c r="I9" s="55" t="s">
        <v>14</v>
      </c>
      <c r="J9" s="53"/>
      <c r="K9" s="48" t="s">
        <v>14</v>
      </c>
      <c r="L9" s="55" t="b">
        <v>1</v>
      </c>
    </row>
    <row r="10" spans="1:12" x14ac:dyDescent="0.3">
      <c r="A10" s="8" t="s">
        <v>250</v>
      </c>
      <c r="B10" s="8" t="s">
        <v>259</v>
      </c>
      <c r="C10" s="14" t="s">
        <v>366</v>
      </c>
      <c r="D10" s="14" t="s">
        <v>14</v>
      </c>
      <c r="E10" s="15">
        <v>25</v>
      </c>
      <c r="F10" s="15" t="s">
        <v>14</v>
      </c>
      <c r="G10" s="16">
        <v>39</v>
      </c>
      <c r="H10" s="16" t="s">
        <v>14</v>
      </c>
      <c r="I10" s="55"/>
      <c r="J10" s="53"/>
      <c r="K10" s="48" t="s">
        <v>14</v>
      </c>
      <c r="L10" s="55" t="b">
        <v>1</v>
      </c>
    </row>
    <row r="11" spans="1:12" x14ac:dyDescent="0.3">
      <c r="A11" s="8" t="s">
        <v>250</v>
      </c>
      <c r="B11" s="8" t="s">
        <v>260</v>
      </c>
      <c r="C11" s="14" t="s">
        <v>367</v>
      </c>
      <c r="D11" s="14" t="s">
        <v>14</v>
      </c>
      <c r="E11" s="15" t="s">
        <v>368</v>
      </c>
      <c r="F11" s="15" t="s">
        <v>14</v>
      </c>
      <c r="G11" s="16">
        <v>25</v>
      </c>
      <c r="H11" s="16" t="s">
        <v>14</v>
      </c>
      <c r="I11" s="55"/>
      <c r="J11" s="53" t="s">
        <v>14</v>
      </c>
      <c r="K11" s="48"/>
      <c r="L11" s="55" t="b">
        <v>1</v>
      </c>
    </row>
    <row r="12" spans="1:12" x14ac:dyDescent="0.3">
      <c r="A12" s="8" t="s">
        <v>250</v>
      </c>
      <c r="B12" s="8" t="s">
        <v>261</v>
      </c>
      <c r="C12" s="14" t="s">
        <v>369</v>
      </c>
      <c r="D12" s="14" t="s">
        <v>14</v>
      </c>
      <c r="E12" s="15">
        <v>29</v>
      </c>
      <c r="F12" s="15" t="s">
        <v>14</v>
      </c>
      <c r="G12" s="19" t="s">
        <v>383</v>
      </c>
      <c r="H12" s="16" t="s">
        <v>14</v>
      </c>
      <c r="I12" s="55"/>
      <c r="J12" s="53" t="s">
        <v>14</v>
      </c>
      <c r="K12" s="48" t="s">
        <v>14</v>
      </c>
      <c r="L12" s="55" t="b">
        <v>1</v>
      </c>
    </row>
    <row r="13" spans="1:12" x14ac:dyDescent="0.3">
      <c r="A13" s="8" t="s">
        <v>250</v>
      </c>
      <c r="B13" s="8" t="s">
        <v>262</v>
      </c>
      <c r="C13" s="14">
        <v>23</v>
      </c>
      <c r="D13" s="14" t="s">
        <v>14</v>
      </c>
      <c r="E13" s="15" t="s">
        <v>370</v>
      </c>
      <c r="F13" s="15" t="s">
        <v>14</v>
      </c>
      <c r="G13" s="16">
        <v>1</v>
      </c>
      <c r="H13" s="16" t="s">
        <v>14</v>
      </c>
      <c r="I13" s="55" t="s">
        <v>14</v>
      </c>
      <c r="J13" s="53" t="s">
        <v>14</v>
      </c>
      <c r="K13" s="48"/>
      <c r="L13" s="55" t="b">
        <v>1</v>
      </c>
    </row>
    <row r="14" spans="1:12" x14ac:dyDescent="0.3">
      <c r="A14" s="8" t="s">
        <v>250</v>
      </c>
      <c r="B14" s="8" t="s">
        <v>263</v>
      </c>
      <c r="C14" s="14">
        <v>22</v>
      </c>
      <c r="D14" s="14" t="s">
        <v>14</v>
      </c>
      <c r="E14" s="15" t="s">
        <v>371</v>
      </c>
      <c r="F14" s="15" t="s">
        <v>14</v>
      </c>
      <c r="G14" s="16">
        <v>21</v>
      </c>
      <c r="H14" s="16" t="s">
        <v>14</v>
      </c>
      <c r="I14" s="55" t="s">
        <v>14</v>
      </c>
      <c r="J14" s="53" t="s">
        <v>14</v>
      </c>
      <c r="K14" s="48" t="s">
        <v>14</v>
      </c>
      <c r="L14" s="55" t="b">
        <v>1</v>
      </c>
    </row>
    <row r="15" spans="1:12" x14ac:dyDescent="0.3">
      <c r="A15" s="8" t="s">
        <v>250</v>
      </c>
      <c r="B15" s="8" t="s">
        <v>264</v>
      </c>
      <c r="C15" s="14">
        <v>32</v>
      </c>
      <c r="D15" s="14" t="s">
        <v>14</v>
      </c>
      <c r="E15" s="15">
        <v>24</v>
      </c>
      <c r="F15" s="15" t="s">
        <v>14</v>
      </c>
      <c r="G15" s="16">
        <v>4</v>
      </c>
      <c r="H15" s="16" t="s">
        <v>14</v>
      </c>
      <c r="I15" s="55" t="s">
        <v>14</v>
      </c>
      <c r="J15" s="53" t="s">
        <v>14</v>
      </c>
      <c r="K15" s="48"/>
      <c r="L15" s="55" t="b">
        <v>1</v>
      </c>
    </row>
    <row r="16" spans="1:12" x14ac:dyDescent="0.3">
      <c r="A16" s="8" t="s">
        <v>265</v>
      </c>
      <c r="B16" s="8" t="s">
        <v>266</v>
      </c>
      <c r="C16" s="14" t="s">
        <v>372</v>
      </c>
      <c r="D16" s="14" t="s">
        <v>14</v>
      </c>
      <c r="E16" s="15" t="s">
        <v>373</v>
      </c>
      <c r="F16" s="15" t="s">
        <v>14</v>
      </c>
      <c r="G16" s="16" t="s">
        <v>374</v>
      </c>
      <c r="H16" s="16" t="s">
        <v>14</v>
      </c>
      <c r="I16" s="55" t="s">
        <v>14</v>
      </c>
      <c r="J16" s="53" t="s">
        <v>14</v>
      </c>
      <c r="K16" s="48"/>
      <c r="L16" s="55" t="b">
        <v>1</v>
      </c>
    </row>
    <row r="17" spans="1:12" x14ac:dyDescent="0.3">
      <c r="A17" s="8" t="s">
        <v>265</v>
      </c>
      <c r="B17" s="8" t="s">
        <v>267</v>
      </c>
      <c r="C17" s="14">
        <v>41</v>
      </c>
      <c r="D17" s="14" t="s">
        <v>14</v>
      </c>
      <c r="E17" s="28" t="s">
        <v>382</v>
      </c>
      <c r="F17" s="15" t="s">
        <v>14</v>
      </c>
      <c r="G17" s="16" t="s">
        <v>375</v>
      </c>
      <c r="H17" s="16" t="s">
        <v>14</v>
      </c>
      <c r="I17" s="55" t="s">
        <v>14</v>
      </c>
      <c r="J17" s="53"/>
      <c r="K17" s="48"/>
      <c r="L17" s="55" t="b">
        <v>0</v>
      </c>
    </row>
    <row r="18" spans="1:12" x14ac:dyDescent="0.3">
      <c r="A18" s="29" t="s">
        <v>265</v>
      </c>
      <c r="B18" s="29" t="s">
        <v>268</v>
      </c>
      <c r="C18" s="25" t="s">
        <v>297</v>
      </c>
      <c r="D18" s="25" t="s">
        <v>14</v>
      </c>
      <c r="E18" s="26" t="s">
        <v>300</v>
      </c>
      <c r="F18" s="26" t="s">
        <v>14</v>
      </c>
      <c r="G18" s="27" t="s">
        <v>303</v>
      </c>
      <c r="H18" s="27" t="s">
        <v>14</v>
      </c>
      <c r="I18" s="57" t="s">
        <v>14</v>
      </c>
      <c r="J18" s="53" t="s">
        <v>14</v>
      </c>
      <c r="K18" s="48" t="s">
        <v>14</v>
      </c>
      <c r="L18" s="12" t="b">
        <v>1</v>
      </c>
    </row>
    <row r="19" spans="1:12" x14ac:dyDescent="0.3">
      <c r="A19" s="29" t="s">
        <v>265</v>
      </c>
      <c r="B19" s="29" t="s">
        <v>269</v>
      </c>
      <c r="C19" s="25" t="s">
        <v>299</v>
      </c>
      <c r="D19" s="25" t="s">
        <v>14</v>
      </c>
      <c r="E19" s="26" t="s">
        <v>301</v>
      </c>
      <c r="F19" s="26" t="s">
        <v>14</v>
      </c>
      <c r="G19" s="27" t="s">
        <v>304</v>
      </c>
      <c r="H19" s="27" t="s">
        <v>14</v>
      </c>
      <c r="I19" s="55" t="s">
        <v>14</v>
      </c>
      <c r="J19" s="53" t="s">
        <v>14</v>
      </c>
      <c r="K19" s="48"/>
      <c r="L19" s="12" t="b">
        <v>1</v>
      </c>
    </row>
    <row r="20" spans="1:12" x14ac:dyDescent="0.3">
      <c r="A20" s="29" t="s">
        <v>265</v>
      </c>
      <c r="B20" s="29" t="s">
        <v>270</v>
      </c>
      <c r="C20" s="25" t="s">
        <v>298</v>
      </c>
      <c r="D20" s="25" t="s">
        <v>14</v>
      </c>
      <c r="E20" s="26" t="s">
        <v>302</v>
      </c>
      <c r="F20" s="26" t="s">
        <v>14</v>
      </c>
      <c r="G20" s="27" t="s">
        <v>305</v>
      </c>
      <c r="H20" s="27" t="s">
        <v>14</v>
      </c>
      <c r="I20" s="55" t="s">
        <v>14</v>
      </c>
      <c r="J20" s="53" t="s">
        <v>14</v>
      </c>
      <c r="K20" s="48" t="s">
        <v>14</v>
      </c>
      <c r="L20" s="12" t="b">
        <v>1</v>
      </c>
    </row>
    <row r="21" spans="1:12" x14ac:dyDescent="0.3">
      <c r="A21" s="29" t="s">
        <v>265</v>
      </c>
      <c r="B21" s="29" t="s">
        <v>271</v>
      </c>
      <c r="C21" s="25">
        <v>48</v>
      </c>
      <c r="D21" s="25" t="s">
        <v>14</v>
      </c>
      <c r="E21" s="26">
        <v>42</v>
      </c>
      <c r="F21" s="26" t="s">
        <v>14</v>
      </c>
      <c r="G21" s="27">
        <v>66</v>
      </c>
      <c r="H21" s="27" t="s">
        <v>306</v>
      </c>
      <c r="I21" s="55" t="s">
        <v>14</v>
      </c>
      <c r="J21" s="53" t="s">
        <v>14</v>
      </c>
      <c r="K21" s="48" t="s">
        <v>14</v>
      </c>
      <c r="L21" s="12" t="b">
        <v>1</v>
      </c>
    </row>
    <row r="22" spans="1:12" x14ac:dyDescent="0.3">
      <c r="A22" s="29" t="s">
        <v>265</v>
      </c>
      <c r="B22" s="29" t="s">
        <v>272</v>
      </c>
      <c r="C22" s="25">
        <v>49</v>
      </c>
      <c r="D22" s="25" t="s">
        <v>14</v>
      </c>
      <c r="E22" s="26">
        <v>43</v>
      </c>
      <c r="F22" s="26" t="s">
        <v>14</v>
      </c>
      <c r="G22" s="27">
        <v>67</v>
      </c>
      <c r="H22" s="27" t="s">
        <v>14</v>
      </c>
      <c r="I22" s="55" t="s">
        <v>14</v>
      </c>
      <c r="J22" s="53" t="s">
        <v>14</v>
      </c>
      <c r="K22" s="48"/>
      <c r="L22" s="12" t="b">
        <v>1</v>
      </c>
    </row>
    <row r="23" spans="1:12" x14ac:dyDescent="0.3">
      <c r="A23" s="29" t="s">
        <v>265</v>
      </c>
      <c r="B23" s="29" t="s">
        <v>273</v>
      </c>
      <c r="C23" s="25">
        <v>51</v>
      </c>
      <c r="D23" s="25" t="s">
        <v>14</v>
      </c>
      <c r="E23" s="26">
        <v>44</v>
      </c>
      <c r="F23" s="26" t="s">
        <v>14</v>
      </c>
      <c r="G23" s="27" t="s">
        <v>307</v>
      </c>
      <c r="H23" s="27" t="s">
        <v>14</v>
      </c>
      <c r="I23" s="55"/>
      <c r="J23" s="53" t="s">
        <v>14</v>
      </c>
      <c r="K23" s="48"/>
      <c r="L23" s="12" t="b">
        <v>1</v>
      </c>
    </row>
    <row r="24" spans="1:12" x14ac:dyDescent="0.3">
      <c r="A24" s="29" t="s">
        <v>265</v>
      </c>
      <c r="B24" s="29" t="s">
        <v>274</v>
      </c>
      <c r="C24" s="25">
        <v>54</v>
      </c>
      <c r="D24" s="25" t="s">
        <v>14</v>
      </c>
      <c r="E24" s="26">
        <v>46</v>
      </c>
      <c r="F24" s="26" t="s">
        <v>14</v>
      </c>
      <c r="G24" s="27">
        <v>72</v>
      </c>
      <c r="H24" s="27" t="s">
        <v>14</v>
      </c>
      <c r="I24" s="55"/>
      <c r="J24" s="53" t="s">
        <v>14</v>
      </c>
      <c r="K24" s="48"/>
      <c r="L24" s="12" t="b">
        <v>1</v>
      </c>
    </row>
    <row r="25" spans="1:12" x14ac:dyDescent="0.3">
      <c r="A25" s="29" t="s">
        <v>265</v>
      </c>
      <c r="B25" s="29" t="s">
        <v>275</v>
      </c>
      <c r="C25" s="25"/>
      <c r="D25" s="25"/>
      <c r="E25" s="26"/>
      <c r="F25" s="26"/>
      <c r="G25" s="27"/>
      <c r="H25" s="27"/>
      <c r="I25" s="55"/>
      <c r="J25" s="53"/>
      <c r="K25" s="48"/>
      <c r="L25" s="12" t="b">
        <v>0</v>
      </c>
    </row>
    <row r="26" spans="1:12" x14ac:dyDescent="0.3">
      <c r="A26" s="3"/>
      <c r="B26" s="3"/>
      <c r="C26" s="2"/>
      <c r="D26" s="2"/>
      <c r="E26" s="2"/>
      <c r="F26" s="2"/>
      <c r="G26" s="2"/>
      <c r="H26" s="2"/>
      <c r="I26" s="1"/>
      <c r="J26" s="54"/>
      <c r="K26" s="49"/>
      <c r="L26" s="3"/>
    </row>
    <row r="27" spans="1:12" x14ac:dyDescent="0.3">
      <c r="A27" s="3"/>
      <c r="B27" s="3"/>
      <c r="C27" s="2"/>
      <c r="D27" s="2"/>
      <c r="E27" s="2"/>
      <c r="F27" s="2"/>
      <c r="G27" s="2"/>
      <c r="H27" s="2"/>
      <c r="I27" s="1"/>
      <c r="J27" s="54"/>
      <c r="K27" s="49"/>
      <c r="L27" s="3"/>
    </row>
    <row r="28" spans="1:12" x14ac:dyDescent="0.3">
      <c r="A28" s="3"/>
      <c r="B28" s="3"/>
      <c r="C28" s="2"/>
      <c r="D28" s="2"/>
      <c r="E28" s="2"/>
      <c r="F28" s="2"/>
      <c r="G28" s="2"/>
      <c r="H28" s="2"/>
      <c r="I28" s="1"/>
      <c r="J28" s="54"/>
      <c r="K28" s="49"/>
      <c r="L28" s="3"/>
    </row>
    <row r="29" spans="1:12" x14ac:dyDescent="0.3">
      <c r="A29" s="3"/>
      <c r="B29" s="3"/>
      <c r="C29" s="2"/>
      <c r="D29" s="2"/>
      <c r="E29" s="2"/>
      <c r="F29" s="2"/>
      <c r="G29" s="2"/>
      <c r="H29" s="2"/>
      <c r="I29" s="1"/>
      <c r="J29" s="54"/>
      <c r="K29" s="49"/>
      <c r="L29" s="3"/>
    </row>
    <row r="30" spans="1:12" x14ac:dyDescent="0.3">
      <c r="A30" s="3"/>
      <c r="B30" s="3"/>
      <c r="C30" s="2"/>
      <c r="D30" s="2"/>
      <c r="E30" s="2"/>
      <c r="F30" s="2"/>
      <c r="G30" s="2"/>
      <c r="H30" s="2"/>
      <c r="I30" s="1"/>
      <c r="J30" s="54"/>
      <c r="K30" s="49"/>
      <c r="L30" s="3"/>
    </row>
    <row r="31" spans="1:12" x14ac:dyDescent="0.3">
      <c r="A31" s="3"/>
      <c r="B31" s="3"/>
      <c r="C31" s="3"/>
      <c r="D31" s="3"/>
      <c r="E31" s="3"/>
      <c r="F31" s="3"/>
      <c r="G31" s="3"/>
      <c r="H31" s="3"/>
      <c r="I31" s="1"/>
      <c r="J31" s="54"/>
      <c r="K31" s="49"/>
      <c r="L31" s="3"/>
    </row>
    <row r="32" spans="1:12" x14ac:dyDescent="0.3">
      <c r="A32" s="3"/>
      <c r="B32" s="3"/>
      <c r="C32" s="3"/>
      <c r="D32" s="3"/>
      <c r="E32" s="3"/>
      <c r="F32" s="3"/>
      <c r="G32" s="3"/>
      <c r="H32" s="3"/>
      <c r="I32" s="1"/>
      <c r="J32" s="54"/>
      <c r="K32" s="49"/>
      <c r="L32" s="3"/>
    </row>
    <row r="33" spans="1:12" x14ac:dyDescent="0.3">
      <c r="A33" s="3"/>
      <c r="B33" s="3"/>
      <c r="C33" s="3"/>
      <c r="D33" s="3"/>
      <c r="E33" s="3"/>
      <c r="F33" s="3"/>
      <c r="G33" s="3"/>
      <c r="H33" s="3"/>
      <c r="I33" s="1"/>
      <c r="J33" s="54"/>
      <c r="K33" s="49"/>
      <c r="L33" s="3"/>
    </row>
    <row r="34" spans="1:12" x14ac:dyDescent="0.3">
      <c r="A34" s="3"/>
      <c r="B34" s="3"/>
      <c r="C34" s="3"/>
      <c r="E34" s="3"/>
      <c r="F34" s="3"/>
      <c r="G34" s="3"/>
      <c r="H34" s="3"/>
      <c r="I34" s="1"/>
      <c r="J34" s="54"/>
      <c r="K34" s="49"/>
      <c r="L34" s="3"/>
    </row>
    <row r="35" spans="1:12" x14ac:dyDescent="0.3">
      <c r="A35" s="3"/>
      <c r="B35" s="3"/>
      <c r="C35" s="3"/>
      <c r="D35" s="3"/>
      <c r="E35" s="3"/>
      <c r="F35" s="3"/>
      <c r="G35" s="3"/>
      <c r="H35" s="3"/>
      <c r="I35" s="1"/>
      <c r="J35" s="54"/>
      <c r="K35" s="49"/>
      <c r="L35" s="3"/>
    </row>
    <row r="36" spans="1:12" x14ac:dyDescent="0.3">
      <c r="A36" s="3"/>
      <c r="B36" s="3"/>
      <c r="C36" s="3"/>
      <c r="D36" s="3"/>
      <c r="E36" s="3"/>
      <c r="F36" s="3"/>
      <c r="G36" s="3"/>
      <c r="H36" s="3"/>
      <c r="I36" s="1"/>
      <c r="J36" s="54"/>
      <c r="K36" s="49"/>
      <c r="L36" s="3"/>
    </row>
    <row r="37" spans="1:12" x14ac:dyDescent="0.3">
      <c r="A37" s="3"/>
      <c r="B37" s="3"/>
      <c r="C37" s="3"/>
      <c r="D37" s="3"/>
      <c r="E37" s="3"/>
      <c r="F37" s="3"/>
      <c r="G37" s="3"/>
      <c r="H37" s="3"/>
      <c r="I37" s="1"/>
      <c r="J37" s="54"/>
      <c r="K37" s="49"/>
      <c r="L37" s="3"/>
    </row>
    <row r="38" spans="1:12" x14ac:dyDescent="0.3">
      <c r="A38" s="3"/>
      <c r="B38" s="3"/>
      <c r="C38" s="3"/>
      <c r="D38" s="3"/>
      <c r="E38" s="3"/>
      <c r="F38" s="3"/>
      <c r="G38" s="3"/>
      <c r="H38" s="3"/>
      <c r="I38" s="1"/>
      <c r="J38" s="54"/>
      <c r="K38" s="49"/>
      <c r="L38" s="3"/>
    </row>
    <row r="39" spans="1:12" x14ac:dyDescent="0.3">
      <c r="A39" s="3"/>
      <c r="B39" s="3"/>
      <c r="C39" s="3"/>
      <c r="D39" s="3"/>
      <c r="E39" s="3"/>
      <c r="F39" s="3"/>
      <c r="G39" s="3"/>
      <c r="H39" s="3"/>
      <c r="I39" s="1"/>
      <c r="J39" s="54"/>
      <c r="K39" s="49"/>
      <c r="L39" s="3"/>
    </row>
    <row r="40" spans="1:12" x14ac:dyDescent="0.3">
      <c r="A40" s="3"/>
      <c r="B40" s="3"/>
      <c r="C40" s="3"/>
      <c r="D40" s="3"/>
      <c r="E40" s="3"/>
      <c r="F40" s="3"/>
      <c r="G40" s="3"/>
      <c r="H40" s="3"/>
      <c r="I40" s="1"/>
      <c r="J40" s="54"/>
      <c r="K40" s="49"/>
      <c r="L40" s="3"/>
    </row>
    <row r="41" spans="1:12" x14ac:dyDescent="0.3">
      <c r="A41" s="3"/>
      <c r="B41" s="3"/>
      <c r="C41" s="3"/>
      <c r="D41" s="3"/>
      <c r="E41" s="3"/>
      <c r="F41" s="3"/>
      <c r="G41" s="3"/>
      <c r="H41" s="3"/>
      <c r="I41" s="1"/>
      <c r="J41" s="54"/>
      <c r="K41" s="49"/>
      <c r="L41" s="3"/>
    </row>
    <row r="42" spans="1:12" x14ac:dyDescent="0.3">
      <c r="A42" s="3"/>
      <c r="B42" s="3"/>
      <c r="C42" s="3"/>
      <c r="D42" s="3"/>
      <c r="E42" s="3"/>
      <c r="F42" s="3"/>
      <c r="G42" s="3"/>
      <c r="H42" s="3"/>
      <c r="I42" s="1"/>
      <c r="J42" s="54"/>
      <c r="K42" s="49"/>
      <c r="L42" s="3"/>
    </row>
    <row r="43" spans="1:12" x14ac:dyDescent="0.3">
      <c r="A43" s="3"/>
      <c r="B43" s="3"/>
      <c r="C43" s="3"/>
      <c r="D43" s="3"/>
      <c r="E43" s="3"/>
      <c r="F43" s="3"/>
      <c r="G43" s="3"/>
      <c r="H43" s="3"/>
      <c r="I43" s="1"/>
      <c r="J43" s="54"/>
      <c r="K43" s="49"/>
      <c r="L43" s="3"/>
    </row>
    <row r="44" spans="1:12" x14ac:dyDescent="0.3">
      <c r="A44" s="3"/>
      <c r="B44" s="3"/>
      <c r="C44" s="3"/>
      <c r="D44" s="3"/>
      <c r="E44" s="3"/>
      <c r="F44" s="3"/>
      <c r="G44" s="3"/>
      <c r="H44" s="3"/>
      <c r="I44" s="1"/>
      <c r="J44" s="54"/>
      <c r="K44" s="49"/>
      <c r="L44" s="3"/>
    </row>
    <row r="45" spans="1:12" x14ac:dyDescent="0.3">
      <c r="A45" s="3"/>
      <c r="B45" s="3"/>
      <c r="C45" s="3"/>
      <c r="D45" s="3"/>
      <c r="E45" s="3"/>
      <c r="F45" s="3"/>
      <c r="G45" s="3"/>
      <c r="H45" s="3"/>
      <c r="I45" s="1"/>
      <c r="J45" s="54"/>
      <c r="K45" s="49"/>
      <c r="L4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5"/>
  <sheetViews>
    <sheetView workbookViewId="0">
      <selection activeCell="L1" sqref="L1:L1048576"/>
    </sheetView>
  </sheetViews>
  <sheetFormatPr defaultRowHeight="14.4" x14ac:dyDescent="0.3"/>
  <cols>
    <col min="1" max="1" width="36.33203125" customWidth="1"/>
    <col min="2" max="2" width="76.33203125" customWidth="1"/>
    <col min="3" max="3" width="8.44140625" customWidth="1"/>
    <col min="4" max="4" width="3.88671875" customWidth="1"/>
    <col min="5" max="5" width="4.21875" customWidth="1"/>
    <col min="6" max="7" width="6.77734375" customWidth="1"/>
    <col min="8" max="8" width="8.5546875" customWidth="1"/>
    <col min="9" max="9" width="6.44140625" customWidth="1"/>
    <col min="10" max="10" width="7.109375" customWidth="1"/>
    <col min="11" max="11" width="7.21875" customWidth="1"/>
    <col min="12" max="12" width="18" customWidth="1"/>
  </cols>
  <sheetData>
    <row r="1" spans="1:12" ht="30.6" customHeight="1" x14ac:dyDescent="0.3">
      <c r="A1" s="4" t="s">
        <v>0</v>
      </c>
      <c r="B1" s="4" t="s">
        <v>77</v>
      </c>
      <c r="C1" s="5" t="s">
        <v>78</v>
      </c>
      <c r="D1" s="5" t="s">
        <v>219</v>
      </c>
      <c r="E1" s="6" t="s">
        <v>78</v>
      </c>
      <c r="F1" s="6" t="s">
        <v>80</v>
      </c>
      <c r="G1" s="7" t="s">
        <v>78</v>
      </c>
      <c r="H1" s="7" t="s">
        <v>276</v>
      </c>
      <c r="I1" s="56" t="s">
        <v>7</v>
      </c>
      <c r="J1" s="52" t="s">
        <v>8</v>
      </c>
      <c r="K1" s="50" t="s">
        <v>9</v>
      </c>
      <c r="L1" s="4" t="s">
        <v>79</v>
      </c>
    </row>
    <row r="2" spans="1:12" ht="15" customHeight="1" x14ac:dyDescent="0.3">
      <c r="A2" s="8" t="s">
        <v>220</v>
      </c>
      <c r="B2" s="8" t="s">
        <v>221</v>
      </c>
      <c r="C2" s="9" t="s">
        <v>332</v>
      </c>
      <c r="D2" s="9" t="s">
        <v>14</v>
      </c>
      <c r="E2" s="10" t="s">
        <v>333</v>
      </c>
      <c r="F2" s="10" t="s">
        <v>14</v>
      </c>
      <c r="G2" s="11" t="s">
        <v>334</v>
      </c>
      <c r="H2" s="11" t="s">
        <v>14</v>
      </c>
      <c r="I2" s="55" t="s">
        <v>14</v>
      </c>
      <c r="J2" s="53" t="s">
        <v>14</v>
      </c>
      <c r="K2" s="51" t="s">
        <v>14</v>
      </c>
      <c r="L2" s="55" t="b">
        <v>1</v>
      </c>
    </row>
    <row r="3" spans="1:12" ht="13.2" customHeight="1" x14ac:dyDescent="0.3">
      <c r="A3" s="8" t="s">
        <v>220</v>
      </c>
      <c r="B3" s="8" t="s">
        <v>222</v>
      </c>
      <c r="C3" s="9" t="s">
        <v>335</v>
      </c>
      <c r="D3" s="9" t="s">
        <v>14</v>
      </c>
      <c r="E3" s="10">
        <v>2</v>
      </c>
      <c r="F3" s="10" t="s">
        <v>14</v>
      </c>
      <c r="G3" s="11" t="s">
        <v>336</v>
      </c>
      <c r="H3" s="11" t="s">
        <v>14</v>
      </c>
      <c r="I3" s="55" t="s">
        <v>14</v>
      </c>
      <c r="J3" s="53" t="s">
        <v>14</v>
      </c>
      <c r="K3" s="51"/>
      <c r="L3" s="55" t="b">
        <v>1</v>
      </c>
    </row>
    <row r="4" spans="1:12" x14ac:dyDescent="0.3">
      <c r="A4" s="8" t="s">
        <v>220</v>
      </c>
      <c r="B4" s="8" t="s">
        <v>223</v>
      </c>
      <c r="C4" s="9">
        <v>2</v>
      </c>
      <c r="D4" s="9" t="s">
        <v>14</v>
      </c>
      <c r="E4" s="10">
        <v>1</v>
      </c>
      <c r="F4" s="10" t="s">
        <v>14</v>
      </c>
      <c r="G4" s="11">
        <v>1</v>
      </c>
      <c r="H4" s="11" t="s">
        <v>14</v>
      </c>
      <c r="I4" s="55" t="s">
        <v>14</v>
      </c>
      <c r="J4" s="53" t="s">
        <v>14</v>
      </c>
      <c r="K4" s="51" t="s">
        <v>14</v>
      </c>
      <c r="L4" s="55" t="b">
        <v>0</v>
      </c>
    </row>
    <row r="5" spans="1:12" ht="13.8" customHeight="1" x14ac:dyDescent="0.3">
      <c r="A5" s="8" t="s">
        <v>220</v>
      </c>
      <c r="B5" s="8" t="s">
        <v>224</v>
      </c>
      <c r="C5" s="9">
        <v>3</v>
      </c>
      <c r="D5" s="9" t="s">
        <v>14</v>
      </c>
      <c r="E5" s="10" t="s">
        <v>337</v>
      </c>
      <c r="F5" s="10" t="s">
        <v>14</v>
      </c>
      <c r="G5" s="11">
        <v>4</v>
      </c>
      <c r="H5" s="11" t="s">
        <v>14</v>
      </c>
      <c r="I5" s="55"/>
      <c r="J5" s="53" t="s">
        <v>14</v>
      </c>
      <c r="K5" s="51" t="s">
        <v>14</v>
      </c>
      <c r="L5" s="55" t="b">
        <v>1</v>
      </c>
    </row>
    <row r="6" spans="1:12" ht="13.8" customHeight="1" x14ac:dyDescent="0.3">
      <c r="A6" s="8" t="s">
        <v>220</v>
      </c>
      <c r="B6" s="8" t="s">
        <v>225</v>
      </c>
      <c r="C6" s="9" t="s">
        <v>338</v>
      </c>
      <c r="D6" s="9" t="s">
        <v>14</v>
      </c>
      <c r="E6" s="10">
        <v>18</v>
      </c>
      <c r="F6" s="10" t="s">
        <v>14</v>
      </c>
      <c r="G6" s="11">
        <v>17</v>
      </c>
      <c r="H6" s="11" t="s">
        <v>14</v>
      </c>
      <c r="I6" s="55"/>
      <c r="J6" s="53" t="s">
        <v>14</v>
      </c>
      <c r="K6" s="51"/>
      <c r="L6" s="55" t="b">
        <v>1</v>
      </c>
    </row>
    <row r="7" spans="1:12" ht="17.399999999999999" customHeight="1" x14ac:dyDescent="0.3">
      <c r="A7" s="8" t="s">
        <v>220</v>
      </c>
      <c r="B7" s="8" t="s">
        <v>226</v>
      </c>
      <c r="C7" s="9">
        <v>11</v>
      </c>
      <c r="D7" s="9" t="s">
        <v>14</v>
      </c>
      <c r="E7" s="10"/>
      <c r="F7" s="10"/>
      <c r="G7" s="11" t="s">
        <v>339</v>
      </c>
      <c r="H7" s="11" t="s">
        <v>14</v>
      </c>
      <c r="I7" s="55"/>
      <c r="J7" s="53" t="s">
        <v>14</v>
      </c>
      <c r="K7" s="51"/>
      <c r="L7" s="55" t="b">
        <v>1</v>
      </c>
    </row>
    <row r="8" spans="1:12" ht="13.2" customHeight="1" x14ac:dyDescent="0.3">
      <c r="A8" s="8" t="s">
        <v>220</v>
      </c>
      <c r="B8" s="8" t="s">
        <v>227</v>
      </c>
      <c r="C8" s="9">
        <v>12</v>
      </c>
      <c r="D8" s="9" t="s">
        <v>14</v>
      </c>
      <c r="E8" s="10">
        <v>22</v>
      </c>
      <c r="F8" s="10" t="s">
        <v>14</v>
      </c>
      <c r="G8" s="11">
        <v>19</v>
      </c>
      <c r="H8" s="11" t="s">
        <v>14</v>
      </c>
      <c r="I8" s="55"/>
      <c r="J8" s="53" t="s">
        <v>14</v>
      </c>
      <c r="K8" s="51"/>
      <c r="L8" s="55" t="b">
        <v>1</v>
      </c>
    </row>
    <row r="9" spans="1:12" ht="14.4" customHeight="1" x14ac:dyDescent="0.3">
      <c r="A9" s="8" t="s">
        <v>220</v>
      </c>
      <c r="B9" s="8" t="s">
        <v>228</v>
      </c>
      <c r="C9" s="9">
        <v>13</v>
      </c>
      <c r="D9" s="9" t="s">
        <v>14</v>
      </c>
      <c r="E9" s="10">
        <v>19</v>
      </c>
      <c r="F9" s="10" t="s">
        <v>14</v>
      </c>
      <c r="G9" s="11" t="s">
        <v>340</v>
      </c>
      <c r="H9" s="11" t="s">
        <v>14</v>
      </c>
      <c r="I9" s="55" t="s">
        <v>14</v>
      </c>
      <c r="J9" s="53" t="s">
        <v>14</v>
      </c>
      <c r="K9" s="51" t="s">
        <v>14</v>
      </c>
      <c r="L9" s="55" t="b">
        <v>1</v>
      </c>
    </row>
    <row r="10" spans="1:12" ht="13.8" customHeight="1" x14ac:dyDescent="0.3">
      <c r="A10" s="13" t="s">
        <v>220</v>
      </c>
      <c r="B10" s="13" t="s">
        <v>229</v>
      </c>
      <c r="C10" s="14" t="s">
        <v>360</v>
      </c>
      <c r="D10" s="14" t="s">
        <v>14</v>
      </c>
      <c r="E10" s="15">
        <v>22</v>
      </c>
      <c r="F10" s="15" t="s">
        <v>14</v>
      </c>
      <c r="G10" s="16" t="s">
        <v>175</v>
      </c>
      <c r="H10" s="11" t="s">
        <v>14</v>
      </c>
      <c r="I10" s="55"/>
      <c r="J10" s="53" t="s">
        <v>14</v>
      </c>
      <c r="K10" s="51"/>
      <c r="L10" s="55" t="b">
        <v>0</v>
      </c>
    </row>
    <row r="11" spans="1:12" ht="15.6" customHeight="1" x14ac:dyDescent="0.3">
      <c r="A11" s="13" t="s">
        <v>220</v>
      </c>
      <c r="B11" s="13" t="s">
        <v>230</v>
      </c>
      <c r="C11" s="14">
        <v>4</v>
      </c>
      <c r="D11" s="14" t="s">
        <v>14</v>
      </c>
      <c r="E11" s="15">
        <v>23</v>
      </c>
      <c r="F11" s="15" t="s">
        <v>14</v>
      </c>
      <c r="G11" s="16">
        <v>10</v>
      </c>
      <c r="H11" s="11" t="s">
        <v>14</v>
      </c>
      <c r="I11" s="55" t="s">
        <v>14</v>
      </c>
      <c r="J11" s="53" t="s">
        <v>14</v>
      </c>
      <c r="K11" s="51"/>
      <c r="L11" s="55" t="b">
        <v>1</v>
      </c>
    </row>
    <row r="12" spans="1:12" ht="15.6" customHeight="1" x14ac:dyDescent="0.3">
      <c r="A12" s="13" t="s">
        <v>220</v>
      </c>
      <c r="B12" s="13" t="s">
        <v>231</v>
      </c>
      <c r="C12" s="14">
        <v>5</v>
      </c>
      <c r="D12" s="14" t="s">
        <v>14</v>
      </c>
      <c r="E12" s="15">
        <v>26</v>
      </c>
      <c r="F12" s="15" t="s">
        <v>14</v>
      </c>
      <c r="G12" s="16">
        <v>12</v>
      </c>
      <c r="H12" s="11" t="s">
        <v>14</v>
      </c>
      <c r="I12" s="55" t="s">
        <v>14</v>
      </c>
      <c r="J12" s="53"/>
      <c r="K12" s="51"/>
      <c r="L12" s="55" t="b">
        <v>1</v>
      </c>
    </row>
    <row r="13" spans="1:12" ht="13.2" customHeight="1" x14ac:dyDescent="0.3">
      <c r="A13" s="13" t="s">
        <v>220</v>
      </c>
      <c r="B13" s="13" t="s">
        <v>232</v>
      </c>
      <c r="C13" s="14" t="s">
        <v>361</v>
      </c>
      <c r="D13" s="14" t="s">
        <v>14</v>
      </c>
      <c r="E13" s="15">
        <v>28</v>
      </c>
      <c r="F13" s="15" t="s">
        <v>14</v>
      </c>
      <c r="G13" s="16">
        <v>13</v>
      </c>
      <c r="H13" s="11" t="s">
        <v>14</v>
      </c>
      <c r="I13" s="55"/>
      <c r="J13" s="53"/>
      <c r="K13" s="51"/>
      <c r="L13" s="55" t="b">
        <v>1</v>
      </c>
    </row>
    <row r="14" spans="1:12" ht="15.6" customHeight="1" x14ac:dyDescent="0.3">
      <c r="A14" s="13" t="s">
        <v>220</v>
      </c>
      <c r="B14" s="13" t="s">
        <v>233</v>
      </c>
      <c r="C14" s="14" t="s">
        <v>362</v>
      </c>
      <c r="D14" s="14" t="s">
        <v>14</v>
      </c>
      <c r="E14" s="15">
        <v>30</v>
      </c>
      <c r="F14" s="15" t="s">
        <v>14</v>
      </c>
      <c r="G14" s="16" t="s">
        <v>363</v>
      </c>
      <c r="H14" s="11" t="s">
        <v>14</v>
      </c>
      <c r="I14" s="55" t="s">
        <v>14</v>
      </c>
      <c r="J14" s="53" t="s">
        <v>14</v>
      </c>
      <c r="K14" s="51" t="s">
        <v>14</v>
      </c>
      <c r="L14" s="55" t="b">
        <v>1</v>
      </c>
    </row>
    <row r="15" spans="1:12" ht="13.2" customHeight="1" x14ac:dyDescent="0.3">
      <c r="A15" s="13" t="s">
        <v>220</v>
      </c>
      <c r="B15" s="13" t="s">
        <v>234</v>
      </c>
      <c r="C15" s="17" t="s">
        <v>378</v>
      </c>
      <c r="D15" s="14" t="s">
        <v>14</v>
      </c>
      <c r="E15" s="18">
        <v>32</v>
      </c>
      <c r="F15" s="18" t="s">
        <v>14</v>
      </c>
      <c r="G15" s="19" t="s">
        <v>381</v>
      </c>
      <c r="H15" s="11" t="s">
        <v>14</v>
      </c>
      <c r="I15" s="55" t="s">
        <v>14</v>
      </c>
      <c r="J15" s="53" t="s">
        <v>14</v>
      </c>
      <c r="K15" s="51"/>
      <c r="L15" s="55" t="b">
        <v>1</v>
      </c>
    </row>
    <row r="16" spans="1:12" ht="13.8" customHeight="1" x14ac:dyDescent="0.3">
      <c r="A16" s="13" t="s">
        <v>220</v>
      </c>
      <c r="B16" s="13" t="s">
        <v>235</v>
      </c>
      <c r="C16" s="14"/>
      <c r="D16" s="14"/>
      <c r="E16" s="18">
        <v>36</v>
      </c>
      <c r="F16" s="18" t="s">
        <v>14</v>
      </c>
      <c r="G16" s="16" t="s">
        <v>321</v>
      </c>
      <c r="H16" s="11" t="s">
        <v>14</v>
      </c>
      <c r="I16" s="55" t="s">
        <v>14</v>
      </c>
      <c r="J16" s="53" t="s">
        <v>14</v>
      </c>
      <c r="K16" s="51"/>
      <c r="L16" s="55" t="b">
        <v>1</v>
      </c>
    </row>
    <row r="17" spans="1:12" ht="14.4" customHeight="1" x14ac:dyDescent="0.3">
      <c r="A17" s="13" t="s">
        <v>220</v>
      </c>
      <c r="B17" s="13" t="s">
        <v>236</v>
      </c>
      <c r="C17" s="14">
        <v>59</v>
      </c>
      <c r="D17" s="14" t="s">
        <v>14</v>
      </c>
      <c r="E17" s="15"/>
      <c r="F17" s="15"/>
      <c r="G17" s="16">
        <v>26</v>
      </c>
      <c r="H17" s="11" t="s">
        <v>14</v>
      </c>
      <c r="I17" s="55"/>
      <c r="J17" s="53" t="s">
        <v>14</v>
      </c>
      <c r="K17" s="51"/>
      <c r="L17" s="55" t="b">
        <v>0</v>
      </c>
    </row>
    <row r="18" spans="1:12" ht="13.2" customHeight="1" x14ac:dyDescent="0.3">
      <c r="A18" s="13" t="s">
        <v>220</v>
      </c>
      <c r="B18" s="13" t="s">
        <v>237</v>
      </c>
      <c r="C18" s="20" t="s">
        <v>364</v>
      </c>
      <c r="D18" s="14"/>
      <c r="E18" s="18">
        <v>42</v>
      </c>
      <c r="F18" s="18" t="s">
        <v>14</v>
      </c>
      <c r="G18" s="16" t="s">
        <v>365</v>
      </c>
      <c r="H18" s="11" t="s">
        <v>14</v>
      </c>
      <c r="I18" s="55" t="s">
        <v>14</v>
      </c>
      <c r="J18" s="53" t="s">
        <v>14</v>
      </c>
      <c r="K18" s="51"/>
      <c r="L18" s="55" t="b">
        <v>0</v>
      </c>
    </row>
    <row r="19" spans="1:12" ht="15" customHeight="1" x14ac:dyDescent="0.3">
      <c r="A19" s="13" t="s">
        <v>238</v>
      </c>
      <c r="B19" s="13" t="s">
        <v>239</v>
      </c>
      <c r="C19" s="17" t="s">
        <v>379</v>
      </c>
      <c r="D19" s="14" t="s">
        <v>14</v>
      </c>
      <c r="E19" s="18"/>
      <c r="F19" s="18" t="s">
        <v>14</v>
      </c>
      <c r="G19" s="21">
        <v>34</v>
      </c>
      <c r="H19" s="22" t="s">
        <v>14</v>
      </c>
      <c r="I19" s="55"/>
      <c r="J19" s="53"/>
      <c r="K19" s="51"/>
      <c r="L19" s="55" t="b">
        <v>0</v>
      </c>
    </row>
    <row r="20" spans="1:12" ht="13.8" customHeight="1" x14ac:dyDescent="0.3">
      <c r="A20" s="13" t="s">
        <v>238</v>
      </c>
      <c r="B20" s="13" t="s">
        <v>240</v>
      </c>
      <c r="C20" s="20" t="s">
        <v>380</v>
      </c>
      <c r="D20" s="14"/>
      <c r="E20" s="15"/>
      <c r="F20" s="15"/>
      <c r="G20" s="16">
        <v>28</v>
      </c>
      <c r="H20" s="11" t="s">
        <v>14</v>
      </c>
      <c r="I20" s="55" t="s">
        <v>14</v>
      </c>
      <c r="J20" s="53"/>
      <c r="K20" s="51"/>
      <c r="L20" s="55" t="b">
        <v>1</v>
      </c>
    </row>
    <row r="21" spans="1:12" ht="17.399999999999999" customHeight="1" x14ac:dyDescent="0.3">
      <c r="A21" s="23" t="s">
        <v>238</v>
      </c>
      <c r="B21" s="23" t="s">
        <v>241</v>
      </c>
      <c r="C21" s="24" t="s">
        <v>280</v>
      </c>
      <c r="D21" s="25" t="s">
        <v>14</v>
      </c>
      <c r="E21" s="44" t="s">
        <v>105</v>
      </c>
      <c r="F21" s="26" t="s">
        <v>14</v>
      </c>
      <c r="G21" s="45" t="s">
        <v>387</v>
      </c>
      <c r="H21" s="11" t="s">
        <v>14</v>
      </c>
      <c r="I21" s="55" t="s">
        <v>14</v>
      </c>
      <c r="J21" s="53" t="s">
        <v>14</v>
      </c>
      <c r="K21" s="51"/>
      <c r="L21" s="12" t="b">
        <v>1</v>
      </c>
    </row>
    <row r="22" spans="1:12" ht="13.2" customHeight="1" x14ac:dyDescent="0.3">
      <c r="A22" s="23" t="s">
        <v>238</v>
      </c>
      <c r="B22" s="23" t="s">
        <v>242</v>
      </c>
      <c r="C22" s="25">
        <v>36</v>
      </c>
      <c r="D22" s="25" t="s">
        <v>14</v>
      </c>
      <c r="E22" s="44" t="s">
        <v>384</v>
      </c>
      <c r="F22" s="26" t="s">
        <v>14</v>
      </c>
      <c r="G22" s="45" t="s">
        <v>386</v>
      </c>
      <c r="H22" s="27" t="s">
        <v>14</v>
      </c>
      <c r="I22" s="55"/>
      <c r="J22" s="53" t="s">
        <v>14</v>
      </c>
      <c r="K22" s="51"/>
      <c r="L22" s="12" t="b">
        <v>1</v>
      </c>
    </row>
    <row r="23" spans="1:12" ht="14.4" customHeight="1" x14ac:dyDescent="0.3">
      <c r="A23" s="23" t="s">
        <v>238</v>
      </c>
      <c r="B23" s="23" t="s">
        <v>243</v>
      </c>
      <c r="C23" s="25" t="s">
        <v>282</v>
      </c>
      <c r="D23" s="24" t="s">
        <v>14</v>
      </c>
      <c r="E23" s="26" t="s">
        <v>287</v>
      </c>
      <c r="F23" s="26" t="s">
        <v>14</v>
      </c>
      <c r="G23" s="27" t="s">
        <v>96</v>
      </c>
      <c r="H23" s="27" t="s">
        <v>14</v>
      </c>
      <c r="I23" s="55" t="s">
        <v>14</v>
      </c>
      <c r="J23" s="53" t="s">
        <v>14</v>
      </c>
      <c r="K23" s="51" t="s">
        <v>14</v>
      </c>
      <c r="L23" s="12" t="b">
        <v>1</v>
      </c>
    </row>
    <row r="24" spans="1:12" ht="15" customHeight="1" x14ac:dyDescent="0.3">
      <c r="A24" s="23" t="s">
        <v>238</v>
      </c>
      <c r="B24" s="46" t="s">
        <v>388</v>
      </c>
      <c r="C24" s="25" t="s">
        <v>281</v>
      </c>
      <c r="D24" s="25" t="s">
        <v>14</v>
      </c>
      <c r="E24" s="26" t="s">
        <v>288</v>
      </c>
      <c r="F24" s="26" t="s">
        <v>14</v>
      </c>
      <c r="G24" s="27" t="s">
        <v>293</v>
      </c>
      <c r="H24" s="27" t="s">
        <v>14</v>
      </c>
      <c r="I24" s="55" t="s">
        <v>14</v>
      </c>
      <c r="J24" s="53" t="s">
        <v>14</v>
      </c>
      <c r="K24" s="51"/>
      <c r="L24" s="12" t="b">
        <v>1</v>
      </c>
    </row>
    <row r="25" spans="1:12" ht="15" customHeight="1" x14ac:dyDescent="0.3">
      <c r="A25" s="23" t="s">
        <v>238</v>
      </c>
      <c r="B25" s="23" t="s">
        <v>244</v>
      </c>
      <c r="C25" s="24" t="s">
        <v>385</v>
      </c>
      <c r="D25" s="25" t="s">
        <v>14</v>
      </c>
      <c r="E25" s="26" t="s">
        <v>289</v>
      </c>
      <c r="F25" s="26" t="s">
        <v>14</v>
      </c>
      <c r="G25" s="45" t="s">
        <v>389</v>
      </c>
      <c r="H25" s="27" t="s">
        <v>14</v>
      </c>
      <c r="I25" s="55" t="s">
        <v>14</v>
      </c>
      <c r="J25" s="53" t="s">
        <v>14</v>
      </c>
      <c r="K25" s="51"/>
      <c r="L25" s="12" t="b">
        <v>1</v>
      </c>
    </row>
    <row r="26" spans="1:12" ht="15.6" customHeight="1" x14ac:dyDescent="0.3">
      <c r="A26" s="23" t="s">
        <v>238</v>
      </c>
      <c r="B26" s="23" t="s">
        <v>245</v>
      </c>
      <c r="C26" s="25" t="s">
        <v>283</v>
      </c>
      <c r="D26" s="25" t="s">
        <v>14</v>
      </c>
      <c r="E26" s="26" t="s">
        <v>290</v>
      </c>
      <c r="F26" s="26" t="s">
        <v>14</v>
      </c>
      <c r="G26" s="27" t="s">
        <v>294</v>
      </c>
      <c r="H26" s="27" t="s">
        <v>14</v>
      </c>
      <c r="I26" s="55" t="s">
        <v>14</v>
      </c>
      <c r="J26" s="53"/>
      <c r="K26" s="51"/>
      <c r="L26" s="12" t="b">
        <v>1</v>
      </c>
    </row>
    <row r="27" spans="1:12" ht="15" customHeight="1" x14ac:dyDescent="0.3">
      <c r="A27" s="23" t="s">
        <v>238</v>
      </c>
      <c r="B27" s="23" t="s">
        <v>246</v>
      </c>
      <c r="C27" s="25" t="s">
        <v>284</v>
      </c>
      <c r="D27" s="25"/>
      <c r="E27" s="26" t="s">
        <v>291</v>
      </c>
      <c r="F27" s="26"/>
      <c r="G27" s="27" t="s">
        <v>295</v>
      </c>
      <c r="H27" s="27"/>
      <c r="I27" s="55" t="s">
        <v>14</v>
      </c>
      <c r="J27" s="53"/>
      <c r="K27" s="51"/>
      <c r="L27" s="12" t="b">
        <v>1</v>
      </c>
    </row>
    <row r="28" spans="1:12" ht="13.2" customHeight="1" x14ac:dyDescent="0.3">
      <c r="A28" s="23" t="s">
        <v>238</v>
      </c>
      <c r="B28" s="23" t="s">
        <v>247</v>
      </c>
      <c r="C28" s="25" t="s">
        <v>285</v>
      </c>
      <c r="D28" s="25" t="s">
        <v>14</v>
      </c>
      <c r="E28" s="26">
        <v>24</v>
      </c>
      <c r="F28" s="26" t="s">
        <v>14</v>
      </c>
      <c r="G28" s="27" t="s">
        <v>296</v>
      </c>
      <c r="H28" s="27" t="s">
        <v>14</v>
      </c>
      <c r="I28" s="55" t="s">
        <v>14</v>
      </c>
      <c r="J28" s="53" t="s">
        <v>14</v>
      </c>
      <c r="K28" s="51"/>
      <c r="L28" s="12" t="b">
        <v>1</v>
      </c>
    </row>
    <row r="29" spans="1:12" ht="13.8" customHeight="1" x14ac:dyDescent="0.3">
      <c r="A29" s="23" t="s">
        <v>238</v>
      </c>
      <c r="B29" s="23" t="s">
        <v>248</v>
      </c>
      <c r="C29" s="25">
        <v>31</v>
      </c>
      <c r="D29" s="25" t="s">
        <v>14</v>
      </c>
      <c r="E29" s="26">
        <v>20</v>
      </c>
      <c r="F29" s="26" t="s">
        <v>14</v>
      </c>
      <c r="G29" s="27">
        <v>53</v>
      </c>
      <c r="H29" s="27" t="s">
        <v>14</v>
      </c>
      <c r="I29" s="55" t="s">
        <v>14</v>
      </c>
      <c r="J29" s="53" t="s">
        <v>14</v>
      </c>
      <c r="K29" s="51"/>
      <c r="L29" s="12" t="b">
        <v>0</v>
      </c>
    </row>
    <row r="30" spans="1:12" ht="16.8" customHeight="1" x14ac:dyDescent="0.3">
      <c r="A30" s="23" t="s">
        <v>238</v>
      </c>
      <c r="B30" s="23" t="s">
        <v>249</v>
      </c>
      <c r="C30" s="25" t="s">
        <v>286</v>
      </c>
      <c r="D30" s="25"/>
      <c r="E30" s="26" t="s">
        <v>292</v>
      </c>
      <c r="F30" s="26"/>
      <c r="G30" s="27">
        <v>61</v>
      </c>
      <c r="H30" s="27"/>
      <c r="I30" s="55" t="s">
        <v>14</v>
      </c>
      <c r="J30" s="53" t="s">
        <v>14</v>
      </c>
      <c r="K30" s="51"/>
      <c r="L30" s="12" t="b">
        <v>1</v>
      </c>
    </row>
    <row r="31" spans="1:12" x14ac:dyDescent="0.3">
      <c r="A31" s="3"/>
      <c r="B31" s="3"/>
      <c r="C31" s="3"/>
      <c r="D31" s="3"/>
      <c r="E31" s="3"/>
      <c r="F31" s="3"/>
      <c r="G31" s="3"/>
      <c r="H31" s="3"/>
      <c r="I31" s="1"/>
      <c r="J31" s="54"/>
      <c r="K31" s="49"/>
      <c r="L31" s="3"/>
    </row>
    <row r="32" spans="1:12" x14ac:dyDescent="0.3">
      <c r="A32" s="3"/>
      <c r="B32" s="3"/>
      <c r="C32" s="3"/>
      <c r="D32" s="3"/>
      <c r="E32" s="3"/>
      <c r="F32" s="3"/>
      <c r="G32" s="3"/>
      <c r="H32" s="3"/>
      <c r="I32" s="1"/>
      <c r="J32" s="54"/>
      <c r="K32" s="49"/>
      <c r="L32" s="3"/>
    </row>
    <row r="33" spans="1:12" x14ac:dyDescent="0.3">
      <c r="A33" s="3"/>
      <c r="B33" s="3"/>
      <c r="C33" s="3"/>
      <c r="D33" s="3"/>
      <c r="E33" s="3"/>
      <c r="F33" s="3"/>
      <c r="G33" s="3"/>
      <c r="H33" s="3"/>
      <c r="I33" s="1"/>
      <c r="J33" s="54"/>
      <c r="K33" s="49"/>
      <c r="L33" s="3"/>
    </row>
    <row r="34" spans="1:12" x14ac:dyDescent="0.3">
      <c r="A34" s="3"/>
      <c r="B34" s="3"/>
      <c r="C34" s="3"/>
      <c r="D34" s="3"/>
      <c r="E34" s="3"/>
      <c r="F34" s="3"/>
      <c r="G34" s="3"/>
      <c r="H34" s="3"/>
      <c r="I34" s="1"/>
      <c r="J34" s="54"/>
      <c r="K34" s="49"/>
      <c r="L34" s="3"/>
    </row>
    <row r="35" spans="1:12" x14ac:dyDescent="0.3">
      <c r="A35" s="3"/>
      <c r="B35" s="3"/>
      <c r="C35" s="3"/>
      <c r="D35" s="3"/>
      <c r="E35" s="3"/>
      <c r="F35" s="3"/>
      <c r="G35" s="3"/>
      <c r="H35" s="3"/>
      <c r="I35" s="1"/>
      <c r="J35" s="54"/>
      <c r="K35" s="49"/>
      <c r="L35" s="3"/>
    </row>
    <row r="36" spans="1:12" x14ac:dyDescent="0.3">
      <c r="A36" s="3"/>
      <c r="B36" s="3"/>
      <c r="C36" s="3"/>
      <c r="D36" s="3"/>
      <c r="E36" s="3"/>
      <c r="F36" s="3"/>
      <c r="G36" s="3"/>
      <c r="H36" s="3"/>
      <c r="I36" s="1"/>
      <c r="J36" s="54"/>
      <c r="K36" s="49"/>
      <c r="L36" s="3"/>
    </row>
    <row r="37" spans="1:12" x14ac:dyDescent="0.3">
      <c r="A37" s="3"/>
      <c r="B37" s="3"/>
      <c r="C37" s="3"/>
      <c r="D37" s="3"/>
      <c r="E37" s="3"/>
      <c r="F37" s="3"/>
      <c r="G37" s="3"/>
      <c r="H37" s="3"/>
      <c r="I37" s="1"/>
      <c r="J37" s="54"/>
      <c r="K37" s="49"/>
      <c r="L37" s="3"/>
    </row>
    <row r="38" spans="1:12" x14ac:dyDescent="0.3">
      <c r="A38" s="3"/>
      <c r="B38" s="3"/>
      <c r="C38" s="3"/>
      <c r="D38" s="3"/>
      <c r="E38" s="3"/>
      <c r="F38" s="3"/>
      <c r="G38" s="3"/>
      <c r="H38" s="3"/>
      <c r="I38" s="1"/>
      <c r="J38" s="54"/>
      <c r="K38" s="49"/>
      <c r="L38" s="3"/>
    </row>
    <row r="39" spans="1:12" x14ac:dyDescent="0.3">
      <c r="A39" s="3"/>
      <c r="B39" s="3"/>
      <c r="C39" s="3"/>
      <c r="D39" s="3"/>
      <c r="E39" s="3"/>
      <c r="F39" s="3"/>
      <c r="G39" s="3"/>
      <c r="H39" s="3"/>
      <c r="I39" s="1"/>
      <c r="J39" s="54"/>
      <c r="K39" s="49"/>
      <c r="L39" s="3"/>
    </row>
    <row r="40" spans="1:12" x14ac:dyDescent="0.3">
      <c r="A40" s="3"/>
      <c r="B40" s="3"/>
      <c r="C40" s="3"/>
      <c r="D40" s="3"/>
      <c r="E40" s="3"/>
      <c r="F40" s="3"/>
      <c r="G40" s="3"/>
      <c r="H40" s="3"/>
      <c r="I40" s="1"/>
      <c r="J40" s="54"/>
      <c r="K40" s="49"/>
      <c r="L40" s="3"/>
    </row>
    <row r="41" spans="1:12" x14ac:dyDescent="0.3">
      <c r="A41" s="3"/>
      <c r="B41" s="3"/>
      <c r="C41" s="3"/>
      <c r="D41" s="3"/>
      <c r="E41" s="3"/>
      <c r="F41" s="3"/>
      <c r="G41" s="3"/>
      <c r="H41" s="3"/>
      <c r="I41" s="1"/>
      <c r="J41" s="54"/>
      <c r="K41" s="49"/>
      <c r="L41" s="3"/>
    </row>
    <row r="42" spans="1:12" x14ac:dyDescent="0.3">
      <c r="A42" s="3"/>
      <c r="B42" s="3"/>
      <c r="C42" s="3"/>
      <c r="D42" s="3"/>
      <c r="E42" s="3"/>
      <c r="F42" s="3"/>
      <c r="G42" s="3"/>
      <c r="H42" s="3"/>
      <c r="I42" s="1"/>
      <c r="J42" s="54"/>
      <c r="K42" s="49"/>
      <c r="L42" s="3"/>
    </row>
    <row r="43" spans="1:12" x14ac:dyDescent="0.3">
      <c r="A43" s="3"/>
      <c r="B43" s="3"/>
      <c r="C43" s="3"/>
      <c r="D43" s="3"/>
      <c r="E43" s="3"/>
      <c r="F43" s="3"/>
      <c r="G43" s="3"/>
      <c r="H43" s="3"/>
      <c r="I43" s="1"/>
      <c r="J43" s="54"/>
      <c r="K43" s="49"/>
      <c r="L43" s="3"/>
    </row>
    <row r="44" spans="1:12" x14ac:dyDescent="0.3">
      <c r="A44" s="3"/>
      <c r="B44" s="3"/>
      <c r="C44" s="3"/>
      <c r="D44" s="3"/>
      <c r="E44" s="3"/>
      <c r="F44" s="3"/>
      <c r="G44" s="3"/>
      <c r="H44" s="3"/>
      <c r="I44" s="1"/>
      <c r="J44" s="54"/>
      <c r="K44" s="49"/>
      <c r="L44" s="3"/>
    </row>
    <row r="45" spans="1:12" x14ac:dyDescent="0.3">
      <c r="A45" s="3"/>
      <c r="B45" s="3"/>
      <c r="C45" s="3"/>
      <c r="D45" s="3"/>
      <c r="E45" s="3"/>
      <c r="F45" s="3"/>
      <c r="G45" s="3"/>
      <c r="H45" s="3"/>
      <c r="I45" s="1"/>
      <c r="J45" s="54"/>
      <c r="K45" s="49"/>
      <c r="L4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>
      <selection activeCell="F5" sqref="F5"/>
    </sheetView>
  </sheetViews>
  <sheetFormatPr defaultRowHeight="14.4" x14ac:dyDescent="0.3"/>
  <cols>
    <col min="1" max="1" width="25.33203125" customWidth="1"/>
  </cols>
  <sheetData>
    <row r="1" spans="1:6" x14ac:dyDescent="0.3">
      <c r="B1" t="s">
        <v>7</v>
      </c>
      <c r="C1" t="s">
        <v>8</v>
      </c>
      <c r="D1" t="s">
        <v>9</v>
      </c>
      <c r="E1" t="s">
        <v>10</v>
      </c>
      <c r="F1" t="s">
        <v>214</v>
      </c>
    </row>
    <row r="2" spans="1:6" x14ac:dyDescent="0.3">
      <c r="A2" t="s">
        <v>215</v>
      </c>
      <c r="B2">
        <v>65</v>
      </c>
      <c r="C2">
        <v>25</v>
      </c>
      <c r="D2">
        <v>69</v>
      </c>
      <c r="E2">
        <v>82</v>
      </c>
      <c r="F2">
        <f>AVERAGE(B2:E2)</f>
        <v>60.25</v>
      </c>
    </row>
    <row r="3" spans="1:6" x14ac:dyDescent="0.3">
      <c r="A3" t="s">
        <v>216</v>
      </c>
      <c r="B3">
        <v>37</v>
      </c>
      <c r="C3">
        <v>68</v>
      </c>
      <c r="D3">
        <v>41</v>
      </c>
      <c r="E3">
        <v>107</v>
      </c>
      <c r="F3">
        <f t="shared" ref="F3:F4" si="0">AVERAGE(B3:E3)</f>
        <v>63.25</v>
      </c>
    </row>
    <row r="4" spans="1:6" x14ac:dyDescent="0.3">
      <c r="A4" t="s">
        <v>217</v>
      </c>
      <c r="B4">
        <v>88</v>
      </c>
      <c r="C4">
        <v>65</v>
      </c>
      <c r="D4">
        <v>33</v>
      </c>
      <c r="E4">
        <v>111</v>
      </c>
      <c r="F4">
        <f t="shared" si="0"/>
        <v>74.25</v>
      </c>
    </row>
    <row r="5" spans="1:6" x14ac:dyDescent="0.3">
      <c r="A5" t="s">
        <v>218</v>
      </c>
      <c r="B5">
        <f>SUM(B2:B4)</f>
        <v>190</v>
      </c>
      <c r="C5">
        <f t="shared" ref="C5:E5" si="1">SUM(C2:C4)</f>
        <v>158</v>
      </c>
      <c r="D5">
        <f t="shared" si="1"/>
        <v>143</v>
      </c>
      <c r="E5">
        <f t="shared" si="1"/>
        <v>300</v>
      </c>
      <c r="F5">
        <f>SUM(F2:F4)</f>
        <v>197.75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Password strength checker</vt:lpstr>
      <vt:lpstr>Unit converter</vt:lpstr>
      <vt:lpstr>Budget planner</vt:lpstr>
      <vt:lpstr>Library fine calculator</vt:lpstr>
      <vt:lpstr>Task manager</vt:lpstr>
      <vt:lpstr>minutes for manual test 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Phước Vinh Đặng</cp:lastModifiedBy>
  <dcterms:modified xsi:type="dcterms:W3CDTF">2026-07-19T08:58:47Z</dcterms:modified>
</cp:coreProperties>
</file>