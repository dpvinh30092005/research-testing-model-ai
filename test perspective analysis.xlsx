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207668\AppData\Vault\experiment\ICSE2024\For publish\"/>
    </mc:Choice>
  </mc:AlternateContent>
  <xr:revisionPtr revIDLastSave="0" documentId="13_ncr:1_{83A7D473-BAA9-4323-9D48-70F3E5A4C74B}" xr6:coauthVersionLast="47" xr6:coauthVersionMax="47" xr10:uidLastSave="{00000000-0000-0000-0000-000000000000}"/>
  <bookViews>
    <workbookView xWindow="-120" yWindow="-120" windowWidth="29040" windowHeight="15720" xr2:uid="{29454052-2A4F-4A4A-B2D8-99D91709C732}"/>
  </bookViews>
  <sheets>
    <sheet name="Password strength checker" sheetId="1" r:id="rId1"/>
    <sheet name="Unit converter" sheetId="2" r:id="rId2"/>
    <sheet name="Budget planner" sheetId="3" r:id="rId3"/>
    <sheet name="minutes for manual test desig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D5" i="4"/>
  <c r="E5" i="4"/>
  <c r="H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F5" i="4"/>
  <c r="F4" i="4"/>
  <c r="F3" i="4"/>
  <c r="F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</calcChain>
</file>

<file path=xl/sharedStrings.xml><?xml version="1.0" encoding="utf-8"?>
<sst xmlns="http://schemas.openxmlformats.org/spreadsheetml/2006/main" count="570" uniqueCount="158">
  <si>
    <t>OK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</si>
  <si>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</si>
  <si>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</si>
  <si>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</si>
  <si>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</si>
  <si>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Avg.</t>
    <phoneticPr fontId="1"/>
  </si>
  <si>
    <t>Password strength checker</t>
    <phoneticPr fontId="1"/>
  </si>
  <si>
    <t>Unit converter</t>
    <phoneticPr fontId="1"/>
  </si>
  <si>
    <t>Budget planner</t>
    <phoneticPr fontId="1"/>
  </si>
  <si>
    <t>Category</t>
  </si>
  <si>
    <t>ChatGPT</t>
  </si>
  <si>
    <t>A</t>
  </si>
  <si>
    <t>B</t>
  </si>
  <si>
    <t>C</t>
  </si>
  <si>
    <t>D</t>
  </si>
  <si>
    <t>7 characters or fewer &amp; 1 type of character</t>
  </si>
  <si>
    <t>OK</t>
  </si>
  <si>
    <t>7 characters or fewer &amp; 2 or more types of characters</t>
  </si>
  <si>
    <t>8 characters or more &amp; 1 type of character</t>
  </si>
  <si>
    <t>8,9 characters &amp; 2 or 3 types of characters (excluding symbols)</t>
  </si>
  <si>
    <t>8,9 characters &amp; 2 or more types of characters including symbols</t>
  </si>
  <si>
    <t>10 characters or more &amp; 2 or 3 types of characters (excluding symbols)</t>
  </si>
  <si>
    <t>10,11 characters &amp; 2 types of characters including symbols</t>
  </si>
  <si>
    <t>10,11 characters &amp; 3 or more types of characters including symbols</t>
  </si>
  <si>
    <t>12 characters or more &amp; 2 types of characters including symbols</t>
  </si>
  <si>
    <t>12~15 characters &amp; 3 types of characters including symbols</t>
  </si>
  <si>
    <t>12~15 characters &amp; 4 types of characters</t>
  </si>
  <si>
    <t>16 characters or more &amp; 3 types of characters including symbols</t>
  </si>
  <si>
    <t>16 characters or more &amp; 4 types of characters</t>
  </si>
  <si>
    <t>Boundary Value</t>
  </si>
  <si>
    <t>Minimum &amp; Maximum</t>
  </si>
  <si>
    <t>Minimum length (1)</t>
  </si>
  <si>
    <t>Maximum length (100)</t>
  </si>
  <si>
    <t>Character Type Combinations</t>
  </si>
  <si>
    <t>3 combinations of 2 types of characters excluding symbols</t>
  </si>
  <si>
    <t>3 combinations of 2 types of characters including symbols</t>
  </si>
  <si>
    <t>3 combinations of 3 types of characters including symbols</t>
  </si>
  <si>
    <t>Inappropriate Strings</t>
  </si>
  <si>
    <t>Failing by not providing a string</t>
  </si>
  <si>
    <t>Failing by providing multiple strings</t>
  </si>
  <si>
    <t>Failing by providing a string longer than the maximum length</t>
  </si>
  <si>
    <t>Failing by providing disallowed symbols</t>
  </si>
  <si>
    <t>Others</t>
  </si>
  <si>
    <t>Linux command line “pipe”</t>
  </si>
  <si>
    <t>Repeating the same character</t>
  </si>
  <si>
    <t>Randomly scattering types of characters evenly</t>
  </si>
  <si>
    <t>All kinds of lowercase letters</t>
  </si>
  <si>
    <t>All kinds of uppercase letters</t>
  </si>
  <si>
    <t>All digits</t>
  </si>
  <si>
    <t>Using all symbols</t>
  </si>
  <si>
    <t>Testing the alphabet in reverse order</t>
  </si>
  <si>
    <t>Testing invisible unicode characters</t>
  </si>
  <si>
    <t>Failing by providing spaces at the beginning and end</t>
  </si>
  <si>
    <t>Combination</t>
  </si>
  <si>
    <t>Exhaustive coverage of two-unit combinations for length</t>
  </si>
  <si>
    <t>All units of length appear in both source and target</t>
  </si>
  <si>
    <t>Exhaustive coverage of two-unit combinations for temperature</t>
  </si>
  <si>
    <t>All units of temperature appear in both source and target</t>
  </si>
  <si>
    <t>Unit Error</t>
  </si>
  <si>
    <t>Conversion to a unit from a different category</t>
  </si>
  <si>
    <t>Conversion between the same units</t>
  </si>
  <si>
    <t>Providing a length unit that is not supported</t>
  </si>
  <si>
    <t>Value Variation (Common)</t>
  </si>
  <si>
    <t>When the pre-conversion value is an integer</t>
  </si>
  <si>
    <t>When the pre-conversion value is a decimal</t>
  </si>
  <si>
    <t>Value Error (Common)</t>
  </si>
  <si>
    <t>Providing a value exceeding the maximum value</t>
  </si>
  <si>
    <t>Providing a value up to the third decimal place</t>
  </si>
  <si>
    <t>Providing an invalid character in the pre-conversion value</t>
  </si>
  <si>
    <t>Length Error</t>
  </si>
  <si>
    <t>When the pre-conversion value for length is negative</t>
  </si>
  <si>
    <t>When the pre-conversion value for length is zero</t>
  </si>
  <si>
    <t>Temperature Variation</t>
  </si>
  <si>
    <t>Successful conversion when the pre-conversion value in Celsius/Fahrenheit is zero</t>
  </si>
  <si>
    <t>Successful conversion when the pre-conversion value in Celsius/Fahrenheit is negative</t>
  </si>
  <si>
    <t>Temperature Error</t>
  </si>
  <si>
    <t>When the pre-conversion value in Kelvin is zero</t>
  </si>
  <si>
    <t>When the pre-conversion value in Kelvin is negative</t>
  </si>
  <si>
    <t>Giving a value smaller than the minimum for Celsius/Fahrenheit (resulting in negative Kelvin post-conversion)</t>
  </si>
  <si>
    <t>Argument Format Error</t>
  </si>
  <si>
    <t>When no value is provided</t>
  </si>
  <si>
    <t>When no 'from' is provided</t>
  </si>
  <si>
    <t>When no 'to' is provided</t>
  </si>
  <si>
    <t>Maximum/Minimum</t>
  </si>
  <si>
    <t>Providing the minimum value for length/Kelvin (0.01)</t>
  </si>
  <si>
    <t>Providing the maximum value (1000)</t>
  </si>
  <si>
    <t>Giving the minimum Celsius value (resulting in 0 Kelvin post-conversion)</t>
  </si>
  <si>
    <t>Giving the minimum Fahrenheit value (resulting in 0 Kelvin post-conversion)</t>
  </si>
  <si>
    <t>For all units of length, appearing in either source or target and successfully converting</t>
  </si>
  <si>
    <t>For all units of temperature, appearing in either source or target and successfully converting</t>
  </si>
  <si>
    <t>When multiple inputs are made for from, value, and to</t>
  </si>
  <si>
    <t>Successfully add an income</t>
  </si>
  <si>
    <t>Successfully add an expense</t>
  </si>
  <si>
    <t>Successfully remove an income</t>
  </si>
  <si>
    <t>Successfully remove an expense</t>
  </si>
  <si>
    <t>Successfully display incomes</t>
  </si>
  <si>
    <t>Successfully display expenses</t>
  </si>
  <si>
    <t>Successfully display the budget</t>
  </si>
  <si>
    <t>Amount Input</t>
  </si>
  <si>
    <t>Giving a negative number</t>
  </si>
  <si>
    <t>Not providing an amount</t>
  </si>
  <si>
    <t>Giving a decimal number</t>
  </si>
  <si>
    <t>Giving a value exceeding the maximum value</t>
  </si>
  <si>
    <t>Giving a non-numeric value</t>
  </si>
  <si>
    <t>Giving a multibyte/Unicode character</t>
  </si>
  <si>
    <t>Giving multiple amounts</t>
  </si>
  <si>
    <t>Source Input</t>
  </si>
  <si>
    <t>Not providing a source</t>
  </si>
  <si>
    <t>Giving an empty string</t>
  </si>
  <si>
    <t>Giving a non-string value</t>
  </si>
  <si>
    <t>Including a space</t>
  </si>
  <si>
    <t>Not enclosing in double quotations</t>
  </si>
  <si>
    <t>Giving multiple sources</t>
  </si>
  <si>
    <t>Internal State</t>
  </si>
  <si>
    <t>Exceeding the maximum number of registrations</t>
  </si>
  <si>
    <t>Deleting a non-existent source</t>
  </si>
  <si>
    <t>Displaying when there is no source</t>
  </si>
  <si>
    <t>Registering multiple sources</t>
  </si>
  <si>
    <t>Verifying that deletion is reflected in the state</t>
  </si>
  <si>
    <t>Registering with the same name for income or expense</t>
  </si>
  <si>
    <t>Registering an expense source with the same name as an income source (and vice versa)</t>
  </si>
  <si>
    <t>Deleting an income source as an expense (and vice versa)</t>
  </si>
  <si>
    <t>Maximum Value</t>
  </si>
  <si>
    <t>Maximum value for amount</t>
  </si>
  <si>
    <t>Maximum string length</t>
  </si>
  <si>
    <t>Maximum number of registrations</t>
  </si>
  <si>
    <t>Budget Calculation</t>
  </si>
  <si>
    <t>Having both income and expenses</t>
  </si>
  <si>
    <t>Income only</t>
  </si>
  <si>
    <t>Expenses only</t>
  </si>
  <si>
    <t>Having neither income nor expenses</t>
  </si>
  <si>
    <t>Verifying both positive and negative balances</t>
  </si>
  <si>
    <t>Having both income and expenses with the same amount</t>
  </si>
  <si>
    <t>Total</t>
    <phoneticPr fontId="1"/>
  </si>
  <si>
    <t>Category</t>
    <phoneticPr fontId="1"/>
  </si>
  <si>
    <t>4 ways to choose 1 type of character</t>
    <phoneticPr fontId="1"/>
  </si>
  <si>
    <t>String length boundary values (excluding minimum and maximum lengths)</t>
    <phoneticPr fontId="1"/>
  </si>
  <si>
    <t>Including newline characters</t>
    <phoneticPr fontId="1"/>
  </si>
  <si>
    <t>Failing by providing multibyte/unicode characters</t>
    <phoneticPr fontId="1"/>
  </si>
  <si>
    <t>Exceeding the maximum string length</t>
    <phoneticPr fontId="1"/>
  </si>
  <si>
    <t>Giving 0</t>
    <phoneticPr fontId="1"/>
  </si>
  <si>
    <t>Test viewpoint</t>
  </si>
  <si>
    <t>Effective viewpoint?</t>
  </si>
  <si>
    <t>Test Viewpoint</t>
  </si>
  <si>
    <t>Effective Viewpoint?</t>
  </si>
  <si>
    <t>Basic Viewpoint</t>
  </si>
  <si>
    <t>Basic Viewpoint: add-income</t>
  </si>
  <si>
    <t>Basic Viewpoint: add-expense</t>
  </si>
  <si>
    <t>Basic Viewpoint: remove-income</t>
  </si>
  <si>
    <t>Basic Viewpoint: remove-expense</t>
  </si>
  <si>
    <t>Basic Viewpoint: list-income</t>
  </si>
  <si>
    <t>Basic Viewpoint: list-expense</t>
  </si>
  <si>
    <t>Basic Viewpoint: show-budget</t>
  </si>
  <si>
    <t>Basic Viewpoint: Very Weak judgment</t>
  </si>
  <si>
    <t>Basic Viewpoint: Weak judgment</t>
  </si>
  <si>
    <t>Basic Viewpoint: Medium judgment</t>
  </si>
  <si>
    <t>Basic Viewpoint: Strong judgment</t>
  </si>
  <si>
    <t>Basic Viewpoint: Very Strong judgment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</si>
</sst>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AC9C-52DA-43BB-A114-F5F0FE460157}">
  <dimension ref="A1:H37"/>
  <sheetViews>
    <sheetView tabSelected="1" workbookViewId="0"/>
  </sheetViews>
  <sheetFormatPr defaultRowHeight="18.75" x14ac:dyDescent="0.4"/>
  <cols>
    <col min="1" max="1" width="37.5" customWidth="1"/>
    <col min="2" max="2" width="66.125" customWidth="1"/>
    <col min="3" max="3" width="9.25" bestFit="1" customWidth="1"/>
    <col min="4" max="7" width="4.125" bestFit="1" customWidth="1"/>
    <col min="8" max="8" width="21.375" bestFit="1" customWidth="1"/>
  </cols>
  <sheetData>
    <row r="1" spans="1:8" x14ac:dyDescent="0.4">
      <c r="A1" t="s">
        <v>134</v>
      </c>
      <c r="B1" t="s">
        <v>141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142</v>
      </c>
    </row>
    <row r="2" spans="1:8" x14ac:dyDescent="0.4">
      <c r="A2" t="s">
        <v>153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H2" t="b">
        <f>COUNTIF(C2:G2,"&lt;&gt;")&gt;1</f>
        <v>1</v>
      </c>
    </row>
    <row r="3" spans="1:8" x14ac:dyDescent="0.4">
      <c r="A3" t="s">
        <v>153</v>
      </c>
      <c r="B3" t="s">
        <v>17</v>
      </c>
      <c r="D3" t="s">
        <v>16</v>
      </c>
      <c r="E3" t="s">
        <v>16</v>
      </c>
      <c r="G3" t="s">
        <v>16</v>
      </c>
      <c r="H3" t="b">
        <f t="shared" ref="H3:H36" si="0">COUNTIF(C3:G3,"&lt;&gt;")&gt;1</f>
        <v>1</v>
      </c>
    </row>
    <row r="4" spans="1:8" x14ac:dyDescent="0.4">
      <c r="A4" t="s">
        <v>153</v>
      </c>
      <c r="B4" t="s">
        <v>18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b">
        <f t="shared" si="0"/>
        <v>1</v>
      </c>
    </row>
    <row r="5" spans="1:8" x14ac:dyDescent="0.4">
      <c r="A5" t="s">
        <v>154</v>
      </c>
      <c r="B5" t="s">
        <v>19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b">
        <f t="shared" si="0"/>
        <v>1</v>
      </c>
    </row>
    <row r="6" spans="1:8" x14ac:dyDescent="0.4">
      <c r="A6" t="s">
        <v>154</v>
      </c>
      <c r="B6" t="s">
        <v>20</v>
      </c>
      <c r="C6" t="s">
        <v>16</v>
      </c>
      <c r="E6" t="s">
        <v>16</v>
      </c>
      <c r="F6" t="s">
        <v>16</v>
      </c>
      <c r="G6" t="s">
        <v>16</v>
      </c>
      <c r="H6" t="b">
        <f t="shared" si="0"/>
        <v>1</v>
      </c>
    </row>
    <row r="7" spans="1:8" x14ac:dyDescent="0.4">
      <c r="A7" t="s">
        <v>154</v>
      </c>
      <c r="B7" t="s">
        <v>21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b">
        <f t="shared" si="0"/>
        <v>1</v>
      </c>
    </row>
    <row r="8" spans="1:8" x14ac:dyDescent="0.4">
      <c r="A8" t="s">
        <v>155</v>
      </c>
      <c r="B8" t="s">
        <v>22</v>
      </c>
      <c r="C8" t="s">
        <v>16</v>
      </c>
      <c r="D8" t="s">
        <v>16</v>
      </c>
      <c r="E8" t="s">
        <v>16</v>
      </c>
      <c r="F8" t="s">
        <v>16</v>
      </c>
      <c r="H8" t="b">
        <f t="shared" si="0"/>
        <v>1</v>
      </c>
    </row>
    <row r="9" spans="1:8" x14ac:dyDescent="0.4">
      <c r="A9" t="s">
        <v>155</v>
      </c>
      <c r="B9" t="s">
        <v>23</v>
      </c>
      <c r="C9" t="s">
        <v>16</v>
      </c>
      <c r="E9" t="s">
        <v>16</v>
      </c>
      <c r="G9" t="s">
        <v>16</v>
      </c>
      <c r="H9" t="b">
        <f t="shared" si="0"/>
        <v>1</v>
      </c>
    </row>
    <row r="10" spans="1:8" x14ac:dyDescent="0.4">
      <c r="A10" t="s">
        <v>155</v>
      </c>
      <c r="B10" t="s">
        <v>24</v>
      </c>
      <c r="D10" t="s">
        <v>16</v>
      </c>
      <c r="F10" t="s">
        <v>16</v>
      </c>
      <c r="G10" t="s">
        <v>16</v>
      </c>
      <c r="H10" t="b">
        <f t="shared" si="0"/>
        <v>1</v>
      </c>
    </row>
    <row r="11" spans="1:8" x14ac:dyDescent="0.4">
      <c r="A11" t="s">
        <v>156</v>
      </c>
      <c r="B11" t="s">
        <v>25</v>
      </c>
      <c r="C11" t="s">
        <v>16</v>
      </c>
      <c r="D11" t="s">
        <v>16</v>
      </c>
      <c r="E11" t="s">
        <v>16</v>
      </c>
      <c r="F11" t="s">
        <v>16</v>
      </c>
      <c r="H11" t="b">
        <f t="shared" si="0"/>
        <v>1</v>
      </c>
    </row>
    <row r="12" spans="1:8" x14ac:dyDescent="0.4">
      <c r="A12" t="s">
        <v>156</v>
      </c>
      <c r="B12" t="s">
        <v>26</v>
      </c>
      <c r="E12" t="s">
        <v>16</v>
      </c>
      <c r="G12" t="s">
        <v>16</v>
      </c>
      <c r="H12" t="b">
        <f t="shared" si="0"/>
        <v>1</v>
      </c>
    </row>
    <row r="13" spans="1:8" x14ac:dyDescent="0.4">
      <c r="A13" t="s">
        <v>156</v>
      </c>
      <c r="B13" t="s">
        <v>27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b">
        <f t="shared" si="0"/>
        <v>1</v>
      </c>
    </row>
    <row r="14" spans="1:8" x14ac:dyDescent="0.4">
      <c r="A14" t="s">
        <v>157</v>
      </c>
      <c r="B14" t="s">
        <v>28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b">
        <f t="shared" si="0"/>
        <v>1</v>
      </c>
    </row>
    <row r="15" spans="1:8" x14ac:dyDescent="0.4">
      <c r="A15" t="s">
        <v>29</v>
      </c>
      <c r="B15" t="s">
        <v>136</v>
      </c>
      <c r="E15" t="s">
        <v>16</v>
      </c>
      <c r="F15" t="s">
        <v>16</v>
      </c>
      <c r="G15" t="s">
        <v>16</v>
      </c>
      <c r="H15" t="b">
        <f t="shared" si="0"/>
        <v>1</v>
      </c>
    </row>
    <row r="16" spans="1:8" x14ac:dyDescent="0.4">
      <c r="A16" t="s">
        <v>30</v>
      </c>
      <c r="B16" t="s">
        <v>31</v>
      </c>
      <c r="F16" t="s">
        <v>16</v>
      </c>
      <c r="H16" t="b">
        <f t="shared" si="0"/>
        <v>0</v>
      </c>
    </row>
    <row r="17" spans="1:8" x14ac:dyDescent="0.4">
      <c r="A17" t="s">
        <v>30</v>
      </c>
      <c r="B17" t="s">
        <v>32</v>
      </c>
      <c r="D17" t="s">
        <v>16</v>
      </c>
      <c r="F17" t="s">
        <v>16</v>
      </c>
      <c r="G17" t="s">
        <v>16</v>
      </c>
      <c r="H17" t="b">
        <f t="shared" si="0"/>
        <v>1</v>
      </c>
    </row>
    <row r="18" spans="1:8" x14ac:dyDescent="0.4">
      <c r="A18" t="s">
        <v>33</v>
      </c>
      <c r="B18" t="s">
        <v>135</v>
      </c>
      <c r="C18" t="s">
        <v>16</v>
      </c>
      <c r="E18" t="s">
        <v>16</v>
      </c>
      <c r="F18" t="s">
        <v>16</v>
      </c>
      <c r="G18" t="s">
        <v>16</v>
      </c>
      <c r="H18" t="b">
        <f t="shared" si="0"/>
        <v>1</v>
      </c>
    </row>
    <row r="19" spans="1:8" x14ac:dyDescent="0.4">
      <c r="A19" t="s">
        <v>33</v>
      </c>
      <c r="B19" t="s">
        <v>34</v>
      </c>
      <c r="C19" t="s">
        <v>16</v>
      </c>
      <c r="E19" t="s">
        <v>16</v>
      </c>
      <c r="F19" t="s">
        <v>16</v>
      </c>
      <c r="G19" t="s">
        <v>16</v>
      </c>
      <c r="H19" t="b">
        <f t="shared" si="0"/>
        <v>1</v>
      </c>
    </row>
    <row r="20" spans="1:8" x14ac:dyDescent="0.4">
      <c r="A20" t="s">
        <v>33</v>
      </c>
      <c r="B20" t="s">
        <v>35</v>
      </c>
      <c r="C20" t="s">
        <v>16</v>
      </c>
      <c r="E20" t="s">
        <v>16</v>
      </c>
      <c r="F20" t="s">
        <v>16</v>
      </c>
      <c r="G20" t="s">
        <v>16</v>
      </c>
      <c r="H20" t="b">
        <f t="shared" si="0"/>
        <v>1</v>
      </c>
    </row>
    <row r="21" spans="1:8" x14ac:dyDescent="0.4">
      <c r="A21" t="s">
        <v>33</v>
      </c>
      <c r="B21" t="s">
        <v>36</v>
      </c>
      <c r="C21" t="s">
        <v>16</v>
      </c>
      <c r="E21" t="s">
        <v>16</v>
      </c>
      <c r="F21" t="s">
        <v>16</v>
      </c>
      <c r="G21" t="s">
        <v>16</v>
      </c>
      <c r="H21" t="b">
        <f t="shared" si="0"/>
        <v>1</v>
      </c>
    </row>
    <row r="22" spans="1:8" x14ac:dyDescent="0.4">
      <c r="A22" t="s">
        <v>37</v>
      </c>
      <c r="B22" t="s">
        <v>38</v>
      </c>
      <c r="C22" t="s">
        <v>16</v>
      </c>
      <c r="D22" t="s">
        <v>16</v>
      </c>
      <c r="E22" t="s">
        <v>16</v>
      </c>
      <c r="G22" t="s">
        <v>16</v>
      </c>
      <c r="H22" t="b">
        <f t="shared" si="0"/>
        <v>1</v>
      </c>
    </row>
    <row r="23" spans="1:8" x14ac:dyDescent="0.4">
      <c r="A23" t="s">
        <v>37</v>
      </c>
      <c r="B23" t="s">
        <v>39</v>
      </c>
      <c r="C23" t="s">
        <v>16</v>
      </c>
      <c r="D23" t="s">
        <v>16</v>
      </c>
      <c r="G23" t="s">
        <v>16</v>
      </c>
      <c r="H23" t="b">
        <f t="shared" si="0"/>
        <v>1</v>
      </c>
    </row>
    <row r="24" spans="1:8" x14ac:dyDescent="0.4">
      <c r="A24" t="s">
        <v>37</v>
      </c>
      <c r="B24" t="s">
        <v>40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b">
        <f t="shared" si="0"/>
        <v>1</v>
      </c>
    </row>
    <row r="25" spans="1:8" x14ac:dyDescent="0.4">
      <c r="A25" t="s">
        <v>37</v>
      </c>
      <c r="B25" t="s">
        <v>41</v>
      </c>
      <c r="C25" t="s">
        <v>16</v>
      </c>
      <c r="H25" t="b">
        <f t="shared" si="0"/>
        <v>0</v>
      </c>
    </row>
    <row r="26" spans="1:8" x14ac:dyDescent="0.4">
      <c r="A26" t="s">
        <v>37</v>
      </c>
      <c r="B26" t="s">
        <v>138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b">
        <f t="shared" si="0"/>
        <v>1</v>
      </c>
    </row>
    <row r="27" spans="1:8" x14ac:dyDescent="0.4">
      <c r="A27" t="s">
        <v>37</v>
      </c>
      <c r="B27" t="s">
        <v>137</v>
      </c>
      <c r="D27" t="s">
        <v>16</v>
      </c>
      <c r="H27" t="b">
        <f t="shared" si="0"/>
        <v>0</v>
      </c>
    </row>
    <row r="28" spans="1:8" x14ac:dyDescent="0.4">
      <c r="A28" t="s">
        <v>42</v>
      </c>
      <c r="B28" t="s">
        <v>43</v>
      </c>
      <c r="D28" t="s">
        <v>16</v>
      </c>
      <c r="H28" t="b">
        <f t="shared" si="0"/>
        <v>0</v>
      </c>
    </row>
    <row r="29" spans="1:8" x14ac:dyDescent="0.4">
      <c r="A29" t="s">
        <v>42</v>
      </c>
      <c r="B29" t="s">
        <v>44</v>
      </c>
      <c r="C29" t="s">
        <v>16</v>
      </c>
      <c r="H29" t="b">
        <f t="shared" si="0"/>
        <v>0</v>
      </c>
    </row>
    <row r="30" spans="1:8" x14ac:dyDescent="0.4">
      <c r="A30" t="s">
        <v>42</v>
      </c>
      <c r="B30" t="s">
        <v>45</v>
      </c>
      <c r="C30" t="s">
        <v>16</v>
      </c>
      <c r="H30" t="b">
        <f t="shared" si="0"/>
        <v>0</v>
      </c>
    </row>
    <row r="31" spans="1:8" x14ac:dyDescent="0.4">
      <c r="A31" t="s">
        <v>42</v>
      </c>
      <c r="B31" t="s">
        <v>46</v>
      </c>
      <c r="F31" t="s">
        <v>16</v>
      </c>
      <c r="H31" t="b">
        <f t="shared" si="0"/>
        <v>0</v>
      </c>
    </row>
    <row r="32" spans="1:8" x14ac:dyDescent="0.4">
      <c r="A32" t="s">
        <v>42</v>
      </c>
      <c r="B32" t="s">
        <v>47</v>
      </c>
      <c r="F32" t="s">
        <v>16</v>
      </c>
      <c r="H32" t="b">
        <f t="shared" si="0"/>
        <v>0</v>
      </c>
    </row>
    <row r="33" spans="1:8" x14ac:dyDescent="0.4">
      <c r="A33" t="s">
        <v>42</v>
      </c>
      <c r="B33" t="s">
        <v>48</v>
      </c>
      <c r="F33" t="s">
        <v>16</v>
      </c>
      <c r="H33" t="b">
        <f t="shared" si="0"/>
        <v>0</v>
      </c>
    </row>
    <row r="34" spans="1:8" x14ac:dyDescent="0.4">
      <c r="A34" t="s">
        <v>42</v>
      </c>
      <c r="B34" t="s">
        <v>49</v>
      </c>
      <c r="C34" t="s">
        <v>16</v>
      </c>
      <c r="F34" t="s">
        <v>16</v>
      </c>
      <c r="H34" t="b">
        <f t="shared" si="0"/>
        <v>1</v>
      </c>
    </row>
    <row r="35" spans="1:8" x14ac:dyDescent="0.4">
      <c r="A35" t="s">
        <v>42</v>
      </c>
      <c r="B35" t="s">
        <v>50</v>
      </c>
      <c r="C35" t="s">
        <v>16</v>
      </c>
      <c r="H35" t="b">
        <f t="shared" si="0"/>
        <v>0</v>
      </c>
    </row>
    <row r="36" spans="1:8" x14ac:dyDescent="0.4">
      <c r="A36" t="s">
        <v>42</v>
      </c>
      <c r="B36" t="s">
        <v>51</v>
      </c>
      <c r="C36" t="s">
        <v>16</v>
      </c>
      <c r="H36" t="b">
        <f t="shared" si="0"/>
        <v>0</v>
      </c>
    </row>
    <row r="37" spans="1:8" x14ac:dyDescent="0.4">
      <c r="A37" t="s">
        <v>42</v>
      </c>
      <c r="B37" t="s">
        <v>52</v>
      </c>
      <c r="D37" t="s">
        <v>16</v>
      </c>
      <c r="H37" t="b">
        <f>COUNTIF(C37:G37,"&lt;&gt;")&gt;1</f>
        <v>0</v>
      </c>
    </row>
  </sheetData>
  <phoneticPr fontId="1"/>
  <conditionalFormatting sqref="A2:G15 A17:G37">
    <cfRule type="expression" dxfId="4" priority="1">
      <formula>$H2=1</formula>
    </cfRule>
  </conditionalFormatting>
  <conditionalFormatting sqref="A16:F16">
    <cfRule type="expression" dxfId="3" priority="3">
      <formula>$G16=1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D397-E57E-4BB0-8715-C787F7EF268E}">
  <dimension ref="A1:H30"/>
  <sheetViews>
    <sheetView workbookViewId="0">
      <selection sqref="A1:H1"/>
    </sheetView>
  </sheetViews>
  <sheetFormatPr defaultRowHeight="18.75" x14ac:dyDescent="0.4"/>
  <cols>
    <col min="1" max="1" width="24" customWidth="1"/>
    <col min="2" max="2" width="96.5" customWidth="1"/>
    <col min="3" max="3" width="9.25" bestFit="1" customWidth="1"/>
    <col min="4" max="7" width="4.125" bestFit="1" customWidth="1"/>
    <col min="8" max="8" width="21.375" bestFit="1" customWidth="1"/>
  </cols>
  <sheetData>
    <row r="1" spans="1:8" x14ac:dyDescent="0.4">
      <c r="A1" t="s">
        <v>9</v>
      </c>
      <c r="B1" t="s">
        <v>143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144</v>
      </c>
    </row>
    <row r="2" spans="1:8" x14ac:dyDescent="0.4">
      <c r="A2" t="s">
        <v>145</v>
      </c>
      <c r="B2" t="s">
        <v>88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b">
        <f>COUNTIF(C2:G2,"&lt;&gt;")&gt;1</f>
        <v>1</v>
      </c>
    </row>
    <row r="3" spans="1:8" x14ac:dyDescent="0.4">
      <c r="A3" t="s">
        <v>145</v>
      </c>
      <c r="B3" t="s">
        <v>89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b">
        <f t="shared" ref="H3:H30" si="0">COUNTIF(C3:G3,"&lt;&gt;")&gt;1</f>
        <v>1</v>
      </c>
    </row>
    <row r="4" spans="1:8" x14ac:dyDescent="0.4">
      <c r="A4" t="s">
        <v>53</v>
      </c>
      <c r="B4" t="s">
        <v>54</v>
      </c>
      <c r="C4" t="s">
        <v>0</v>
      </c>
      <c r="E4" t="s">
        <v>0</v>
      </c>
      <c r="F4" t="s">
        <v>0</v>
      </c>
      <c r="G4" t="s">
        <v>0</v>
      </c>
      <c r="H4" t="b">
        <f t="shared" si="0"/>
        <v>1</v>
      </c>
    </row>
    <row r="5" spans="1:8" x14ac:dyDescent="0.4">
      <c r="A5" t="s">
        <v>53</v>
      </c>
      <c r="B5" t="s">
        <v>55</v>
      </c>
      <c r="C5" t="s">
        <v>0</v>
      </c>
      <c r="D5" t="s">
        <v>0</v>
      </c>
      <c r="E5" t="s">
        <v>0</v>
      </c>
      <c r="G5" t="s">
        <v>0</v>
      </c>
      <c r="H5" t="b">
        <f t="shared" si="0"/>
        <v>1</v>
      </c>
    </row>
    <row r="6" spans="1:8" x14ac:dyDescent="0.4">
      <c r="A6" t="s">
        <v>53</v>
      </c>
      <c r="B6" t="s">
        <v>56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b">
        <f t="shared" si="0"/>
        <v>1</v>
      </c>
    </row>
    <row r="7" spans="1:8" x14ac:dyDescent="0.4">
      <c r="A7" t="s">
        <v>53</v>
      </c>
      <c r="B7" t="s">
        <v>57</v>
      </c>
      <c r="C7" t="s">
        <v>0</v>
      </c>
      <c r="D7" t="s">
        <v>0</v>
      </c>
      <c r="E7" t="s">
        <v>0</v>
      </c>
      <c r="G7" t="s">
        <v>0</v>
      </c>
      <c r="H7" t="b">
        <f t="shared" si="0"/>
        <v>1</v>
      </c>
    </row>
    <row r="8" spans="1:8" x14ac:dyDescent="0.4">
      <c r="A8" t="s">
        <v>58</v>
      </c>
      <c r="B8" t="s">
        <v>59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b">
        <f t="shared" si="0"/>
        <v>1</v>
      </c>
    </row>
    <row r="9" spans="1:8" x14ac:dyDescent="0.4">
      <c r="A9" t="s">
        <v>58</v>
      </c>
      <c r="B9" t="s">
        <v>60</v>
      </c>
      <c r="C9" t="s">
        <v>0</v>
      </c>
      <c r="E9" t="s">
        <v>0</v>
      </c>
      <c r="F9" t="s">
        <v>0</v>
      </c>
      <c r="G9" t="s">
        <v>0</v>
      </c>
      <c r="H9" t="b">
        <f t="shared" si="0"/>
        <v>1</v>
      </c>
    </row>
    <row r="10" spans="1:8" x14ac:dyDescent="0.4">
      <c r="A10" t="s">
        <v>58</v>
      </c>
      <c r="B10" t="s">
        <v>61</v>
      </c>
      <c r="C10" t="s">
        <v>0</v>
      </c>
      <c r="E10" t="s">
        <v>0</v>
      </c>
      <c r="G10" t="s">
        <v>0</v>
      </c>
      <c r="H10" t="b">
        <f t="shared" si="0"/>
        <v>1</v>
      </c>
    </row>
    <row r="11" spans="1:8" x14ac:dyDescent="0.4">
      <c r="A11" t="s">
        <v>62</v>
      </c>
      <c r="B11" t="s">
        <v>63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b">
        <f t="shared" si="0"/>
        <v>1</v>
      </c>
    </row>
    <row r="12" spans="1:8" x14ac:dyDescent="0.4">
      <c r="A12" t="s">
        <v>62</v>
      </c>
      <c r="B12" t="s">
        <v>64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b">
        <f t="shared" si="0"/>
        <v>1</v>
      </c>
    </row>
    <row r="13" spans="1:8" x14ac:dyDescent="0.4">
      <c r="A13" t="s">
        <v>65</v>
      </c>
      <c r="B13" t="s">
        <v>66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b">
        <f t="shared" si="0"/>
        <v>1</v>
      </c>
    </row>
    <row r="14" spans="1:8" x14ac:dyDescent="0.4">
      <c r="A14" t="s">
        <v>65</v>
      </c>
      <c r="B14" t="s">
        <v>67</v>
      </c>
      <c r="D14" t="s">
        <v>0</v>
      </c>
      <c r="E14" t="s">
        <v>0</v>
      </c>
      <c r="F14" t="s">
        <v>0</v>
      </c>
      <c r="G14" t="s">
        <v>0</v>
      </c>
      <c r="H14" t="b">
        <f t="shared" si="0"/>
        <v>1</v>
      </c>
    </row>
    <row r="15" spans="1:8" x14ac:dyDescent="0.4">
      <c r="A15" t="s">
        <v>65</v>
      </c>
      <c r="B15" t="s">
        <v>68</v>
      </c>
      <c r="C15" t="s">
        <v>0</v>
      </c>
      <c r="D15" t="s">
        <v>0</v>
      </c>
      <c r="F15" t="s">
        <v>0</v>
      </c>
      <c r="G15" t="s">
        <v>0</v>
      </c>
      <c r="H15" t="b">
        <f t="shared" si="0"/>
        <v>1</v>
      </c>
    </row>
    <row r="16" spans="1:8" x14ac:dyDescent="0.4">
      <c r="A16" t="s">
        <v>69</v>
      </c>
      <c r="B16" t="s">
        <v>70</v>
      </c>
      <c r="C16" t="s">
        <v>0</v>
      </c>
      <c r="D16" t="s">
        <v>0</v>
      </c>
      <c r="E16" t="s">
        <v>0</v>
      </c>
      <c r="F16" t="s">
        <v>0</v>
      </c>
      <c r="H16" t="b">
        <f t="shared" si="0"/>
        <v>1</v>
      </c>
    </row>
    <row r="17" spans="1:8" x14ac:dyDescent="0.4">
      <c r="A17" t="s">
        <v>69</v>
      </c>
      <c r="B17" t="s">
        <v>71</v>
      </c>
      <c r="D17" t="s">
        <v>0</v>
      </c>
      <c r="F17" t="s">
        <v>0</v>
      </c>
      <c r="G17" t="s">
        <v>0</v>
      </c>
      <c r="H17" t="b">
        <f t="shared" si="0"/>
        <v>1</v>
      </c>
    </row>
    <row r="18" spans="1:8" x14ac:dyDescent="0.4">
      <c r="A18" t="s">
        <v>72</v>
      </c>
      <c r="B18" t="s">
        <v>73</v>
      </c>
      <c r="F18" t="s">
        <v>0</v>
      </c>
      <c r="H18" t="b">
        <f t="shared" si="0"/>
        <v>0</v>
      </c>
    </row>
    <row r="19" spans="1:8" x14ac:dyDescent="0.4">
      <c r="A19" t="s">
        <v>72</v>
      </c>
      <c r="B19" t="s">
        <v>74</v>
      </c>
      <c r="C19" t="s">
        <v>0</v>
      </c>
      <c r="H19" t="b">
        <f t="shared" si="0"/>
        <v>0</v>
      </c>
    </row>
    <row r="20" spans="1:8" x14ac:dyDescent="0.4">
      <c r="A20" t="s">
        <v>75</v>
      </c>
      <c r="B20" t="s">
        <v>76</v>
      </c>
      <c r="C20" t="s">
        <v>0</v>
      </c>
      <c r="G20" t="s">
        <v>0</v>
      </c>
      <c r="H20" t="b">
        <f t="shared" si="0"/>
        <v>1</v>
      </c>
    </row>
    <row r="21" spans="1:8" x14ac:dyDescent="0.4">
      <c r="A21" t="s">
        <v>75</v>
      </c>
      <c r="B21" t="s">
        <v>77</v>
      </c>
      <c r="C21" t="s">
        <v>0</v>
      </c>
      <c r="D21" t="s">
        <v>0</v>
      </c>
      <c r="E21" t="s">
        <v>0</v>
      </c>
      <c r="F21" t="s">
        <v>0</v>
      </c>
      <c r="H21" t="b">
        <f t="shared" si="0"/>
        <v>1</v>
      </c>
    </row>
    <row r="22" spans="1:8" x14ac:dyDescent="0.4">
      <c r="A22" t="s">
        <v>75</v>
      </c>
      <c r="B22" t="s">
        <v>78</v>
      </c>
      <c r="D22" t="s">
        <v>0</v>
      </c>
      <c r="G22" t="s">
        <v>0</v>
      </c>
      <c r="H22" t="b">
        <f t="shared" si="0"/>
        <v>1</v>
      </c>
    </row>
    <row r="23" spans="1:8" x14ac:dyDescent="0.4">
      <c r="A23" t="s">
        <v>79</v>
      </c>
      <c r="B23" t="s">
        <v>80</v>
      </c>
      <c r="C23" t="s">
        <v>0</v>
      </c>
      <c r="E23" t="s">
        <v>0</v>
      </c>
      <c r="F23" t="s">
        <v>0</v>
      </c>
      <c r="H23" t="b">
        <f t="shared" si="0"/>
        <v>1</v>
      </c>
    </row>
    <row r="24" spans="1:8" x14ac:dyDescent="0.4">
      <c r="A24" t="s">
        <v>79</v>
      </c>
      <c r="B24" t="s">
        <v>81</v>
      </c>
      <c r="C24" t="s">
        <v>0</v>
      </c>
      <c r="E24" t="s">
        <v>0</v>
      </c>
      <c r="F24" t="s">
        <v>0</v>
      </c>
      <c r="H24" t="b">
        <f t="shared" si="0"/>
        <v>1</v>
      </c>
    </row>
    <row r="25" spans="1:8" x14ac:dyDescent="0.4">
      <c r="A25" t="s">
        <v>79</v>
      </c>
      <c r="B25" t="s">
        <v>82</v>
      </c>
      <c r="C25" t="s">
        <v>0</v>
      </c>
      <c r="E25" t="s">
        <v>0</v>
      </c>
      <c r="F25" t="s">
        <v>0</v>
      </c>
      <c r="H25" t="b">
        <f t="shared" si="0"/>
        <v>1</v>
      </c>
    </row>
    <row r="26" spans="1:8" x14ac:dyDescent="0.4">
      <c r="A26" t="s">
        <v>79</v>
      </c>
      <c r="B26" t="s">
        <v>90</v>
      </c>
      <c r="G26" t="s">
        <v>0</v>
      </c>
      <c r="H26" t="b">
        <f t="shared" si="0"/>
        <v>0</v>
      </c>
    </row>
    <row r="27" spans="1:8" x14ac:dyDescent="0.4">
      <c r="A27" t="s">
        <v>83</v>
      </c>
      <c r="B27" t="s">
        <v>84</v>
      </c>
      <c r="G27" t="s">
        <v>0</v>
      </c>
      <c r="H27" t="b">
        <f t="shared" si="0"/>
        <v>0</v>
      </c>
    </row>
    <row r="28" spans="1:8" x14ac:dyDescent="0.4">
      <c r="A28" t="s">
        <v>83</v>
      </c>
      <c r="B28" t="s">
        <v>85</v>
      </c>
      <c r="F28" t="s">
        <v>0</v>
      </c>
      <c r="G28" t="s">
        <v>0</v>
      </c>
      <c r="H28" t="b">
        <f t="shared" si="0"/>
        <v>1</v>
      </c>
    </row>
    <row r="29" spans="1:8" x14ac:dyDescent="0.4">
      <c r="A29" t="s">
        <v>83</v>
      </c>
      <c r="B29" t="s">
        <v>86</v>
      </c>
      <c r="C29" t="s">
        <v>0</v>
      </c>
      <c r="H29" t="b">
        <f t="shared" si="0"/>
        <v>0</v>
      </c>
    </row>
    <row r="30" spans="1:8" x14ac:dyDescent="0.4">
      <c r="A30" t="s">
        <v>83</v>
      </c>
      <c r="B30" t="s">
        <v>87</v>
      </c>
      <c r="C30" t="s">
        <v>0</v>
      </c>
      <c r="H30" t="b">
        <f t="shared" si="0"/>
        <v>0</v>
      </c>
    </row>
  </sheetData>
  <phoneticPr fontId="1"/>
  <conditionalFormatting sqref="A2:G30">
    <cfRule type="expression" dxfId="2" priority="1">
      <formula>$H2=1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F967-3128-4D61-8838-1F6AE3A00B0B}">
  <dimension ref="A1:H41"/>
  <sheetViews>
    <sheetView topLeftCell="A14" workbookViewId="0">
      <selection activeCell="A42" sqref="A42:XFD42"/>
    </sheetView>
  </sheetViews>
  <sheetFormatPr defaultColWidth="34.5" defaultRowHeight="18.75" x14ac:dyDescent="0.4"/>
  <cols>
    <col min="1" max="1" width="25.625" bestFit="1" customWidth="1"/>
    <col min="2" max="2" width="50.5" bestFit="1" customWidth="1"/>
    <col min="3" max="3" width="9.25" bestFit="1" customWidth="1"/>
    <col min="4" max="7" width="4.125" bestFit="1" customWidth="1"/>
    <col min="8" max="8" width="21.375" bestFit="1" customWidth="1"/>
  </cols>
  <sheetData>
    <row r="1" spans="1:8" x14ac:dyDescent="0.4">
      <c r="A1" t="s">
        <v>9</v>
      </c>
      <c r="B1" t="s">
        <v>143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144</v>
      </c>
    </row>
    <row r="2" spans="1:8" x14ac:dyDescent="0.4">
      <c r="A2" t="s">
        <v>146</v>
      </c>
      <c r="B2" s="1" t="s">
        <v>91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b">
        <f t="shared" ref="H2:H41" si="0">COUNTIF(C2:G2,"&lt;&gt;")&gt;1</f>
        <v>1</v>
      </c>
    </row>
    <row r="3" spans="1:8" x14ac:dyDescent="0.4">
      <c r="A3" t="s">
        <v>147</v>
      </c>
      <c r="B3" s="1" t="s">
        <v>92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b">
        <f t="shared" si="0"/>
        <v>1</v>
      </c>
    </row>
    <row r="4" spans="1:8" x14ac:dyDescent="0.4">
      <c r="A4" t="s">
        <v>148</v>
      </c>
      <c r="B4" s="1" t="s">
        <v>93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b">
        <f t="shared" si="0"/>
        <v>1</v>
      </c>
    </row>
    <row r="5" spans="1:8" x14ac:dyDescent="0.4">
      <c r="A5" t="s">
        <v>149</v>
      </c>
      <c r="B5" s="1" t="s">
        <v>94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b">
        <f t="shared" si="0"/>
        <v>1</v>
      </c>
    </row>
    <row r="6" spans="1:8" x14ac:dyDescent="0.4">
      <c r="A6" t="s">
        <v>150</v>
      </c>
      <c r="B6" s="1" t="s">
        <v>95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b">
        <f t="shared" si="0"/>
        <v>1</v>
      </c>
    </row>
    <row r="7" spans="1:8" x14ac:dyDescent="0.4">
      <c r="A7" t="s">
        <v>151</v>
      </c>
      <c r="B7" s="1" t="s">
        <v>96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b">
        <f t="shared" si="0"/>
        <v>1</v>
      </c>
    </row>
    <row r="8" spans="1:8" x14ac:dyDescent="0.4">
      <c r="A8" t="s">
        <v>152</v>
      </c>
      <c r="B8" s="1" t="s">
        <v>97</v>
      </c>
      <c r="D8" t="s">
        <v>0</v>
      </c>
      <c r="F8" t="s">
        <v>0</v>
      </c>
      <c r="G8" t="s">
        <v>0</v>
      </c>
      <c r="H8" t="b">
        <f t="shared" si="0"/>
        <v>1</v>
      </c>
    </row>
    <row r="9" spans="1:8" x14ac:dyDescent="0.4">
      <c r="A9" t="s">
        <v>98</v>
      </c>
      <c r="B9" s="1" t="s">
        <v>140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b">
        <f t="shared" si="0"/>
        <v>1</v>
      </c>
    </row>
    <row r="10" spans="1:8" x14ac:dyDescent="0.4">
      <c r="A10" t="s">
        <v>98</v>
      </c>
      <c r="B10" s="1" t="s">
        <v>99</v>
      </c>
      <c r="E10" t="s">
        <v>0</v>
      </c>
      <c r="F10" t="s">
        <v>0</v>
      </c>
      <c r="G10" t="s">
        <v>0</v>
      </c>
      <c r="H10" t="b">
        <f t="shared" si="0"/>
        <v>1</v>
      </c>
    </row>
    <row r="11" spans="1:8" x14ac:dyDescent="0.4">
      <c r="A11" t="s">
        <v>98</v>
      </c>
      <c r="B11" s="1" t="s">
        <v>100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b">
        <f t="shared" si="0"/>
        <v>1</v>
      </c>
    </row>
    <row r="12" spans="1:8" x14ac:dyDescent="0.4">
      <c r="A12" t="s">
        <v>98</v>
      </c>
      <c r="B12" s="1" t="s">
        <v>101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b">
        <f t="shared" si="0"/>
        <v>1</v>
      </c>
    </row>
    <row r="13" spans="1:8" x14ac:dyDescent="0.4">
      <c r="A13" t="s">
        <v>98</v>
      </c>
      <c r="B13" s="1" t="s">
        <v>102</v>
      </c>
      <c r="D13" t="s">
        <v>0</v>
      </c>
      <c r="E13" t="s">
        <v>0</v>
      </c>
      <c r="F13" t="s">
        <v>0</v>
      </c>
      <c r="G13" t="s">
        <v>0</v>
      </c>
      <c r="H13" t="b">
        <f t="shared" si="0"/>
        <v>1</v>
      </c>
    </row>
    <row r="14" spans="1:8" x14ac:dyDescent="0.4">
      <c r="A14" t="s">
        <v>98</v>
      </c>
      <c r="B14" s="1" t="s">
        <v>103</v>
      </c>
      <c r="D14" t="s">
        <v>0</v>
      </c>
      <c r="H14" t="b">
        <f t="shared" si="0"/>
        <v>0</v>
      </c>
    </row>
    <row r="15" spans="1:8" x14ac:dyDescent="0.4">
      <c r="A15" t="s">
        <v>98</v>
      </c>
      <c r="B15" s="1" t="s">
        <v>104</v>
      </c>
      <c r="G15" t="s">
        <v>0</v>
      </c>
      <c r="H15" t="b">
        <f t="shared" si="0"/>
        <v>0</v>
      </c>
    </row>
    <row r="16" spans="1:8" x14ac:dyDescent="0.4">
      <c r="A16" t="s">
        <v>98</v>
      </c>
      <c r="B16" s="1" t="s">
        <v>105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b">
        <f t="shared" si="0"/>
        <v>1</v>
      </c>
    </row>
    <row r="17" spans="1:8" x14ac:dyDescent="0.4">
      <c r="A17" t="s">
        <v>106</v>
      </c>
      <c r="B17" s="1" t="s">
        <v>107</v>
      </c>
      <c r="C17" t="s">
        <v>0</v>
      </c>
      <c r="G17" t="s">
        <v>0</v>
      </c>
      <c r="H17" t="b">
        <f t="shared" si="0"/>
        <v>1</v>
      </c>
    </row>
    <row r="18" spans="1:8" x14ac:dyDescent="0.4">
      <c r="A18" t="s">
        <v>106</v>
      </c>
      <c r="B18" s="1" t="s">
        <v>108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b">
        <f t="shared" si="0"/>
        <v>1</v>
      </c>
    </row>
    <row r="19" spans="1:8" x14ac:dyDescent="0.4">
      <c r="A19" t="s">
        <v>106</v>
      </c>
      <c r="B19" s="1" t="s">
        <v>139</v>
      </c>
      <c r="F19" t="s">
        <v>0</v>
      </c>
      <c r="H19" t="b">
        <f t="shared" si="0"/>
        <v>0</v>
      </c>
    </row>
    <row r="20" spans="1:8" x14ac:dyDescent="0.4">
      <c r="A20" t="s">
        <v>106</v>
      </c>
      <c r="B20" s="1" t="s">
        <v>109</v>
      </c>
      <c r="D20" t="s">
        <v>0</v>
      </c>
      <c r="H20" t="b">
        <f t="shared" si="0"/>
        <v>0</v>
      </c>
    </row>
    <row r="21" spans="1:8" x14ac:dyDescent="0.4">
      <c r="A21" t="s">
        <v>106</v>
      </c>
      <c r="B21" s="1" t="s">
        <v>104</v>
      </c>
      <c r="C21" t="s">
        <v>0</v>
      </c>
      <c r="H21" t="b">
        <f t="shared" si="0"/>
        <v>0</v>
      </c>
    </row>
    <row r="22" spans="1:8" x14ac:dyDescent="0.4">
      <c r="A22" t="s">
        <v>106</v>
      </c>
      <c r="B22" s="1" t="s">
        <v>110</v>
      </c>
      <c r="D22" t="s">
        <v>0</v>
      </c>
      <c r="G22" t="s">
        <v>0</v>
      </c>
      <c r="H22" t="b">
        <f t="shared" si="0"/>
        <v>1</v>
      </c>
    </row>
    <row r="23" spans="1:8" x14ac:dyDescent="0.4">
      <c r="A23" t="s">
        <v>106</v>
      </c>
      <c r="B23" s="1" t="s">
        <v>111</v>
      </c>
      <c r="G23" t="s">
        <v>0</v>
      </c>
      <c r="H23" t="b">
        <f t="shared" si="0"/>
        <v>0</v>
      </c>
    </row>
    <row r="24" spans="1:8" x14ac:dyDescent="0.4">
      <c r="A24" t="s">
        <v>106</v>
      </c>
      <c r="B24" s="1" t="s">
        <v>112</v>
      </c>
      <c r="C24" t="s">
        <v>0</v>
      </c>
      <c r="D24" t="s">
        <v>0</v>
      </c>
      <c r="E24" t="s">
        <v>0</v>
      </c>
      <c r="G24" t="s">
        <v>0</v>
      </c>
      <c r="H24" t="b">
        <f t="shared" si="0"/>
        <v>1</v>
      </c>
    </row>
    <row r="25" spans="1:8" x14ac:dyDescent="0.4">
      <c r="A25" t="s">
        <v>113</v>
      </c>
      <c r="B25" s="1" t="s">
        <v>114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b">
        <f t="shared" si="0"/>
        <v>1</v>
      </c>
    </row>
    <row r="26" spans="1:8" x14ac:dyDescent="0.4">
      <c r="A26" t="s">
        <v>113</v>
      </c>
      <c r="B26" s="1" t="s">
        <v>115</v>
      </c>
      <c r="C26" t="s">
        <v>0</v>
      </c>
      <c r="D26" t="s">
        <v>0</v>
      </c>
      <c r="E26" t="s">
        <v>0</v>
      </c>
      <c r="G26" t="s">
        <v>0</v>
      </c>
      <c r="H26" t="b">
        <f t="shared" si="0"/>
        <v>1</v>
      </c>
    </row>
    <row r="27" spans="1:8" x14ac:dyDescent="0.4">
      <c r="A27" t="s">
        <v>113</v>
      </c>
      <c r="B27" s="1" t="s">
        <v>116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b">
        <f t="shared" si="0"/>
        <v>1</v>
      </c>
    </row>
    <row r="28" spans="1:8" x14ac:dyDescent="0.4">
      <c r="A28" t="s">
        <v>113</v>
      </c>
      <c r="B28" s="1" t="s">
        <v>117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b">
        <f t="shared" si="0"/>
        <v>1</v>
      </c>
    </row>
    <row r="29" spans="1:8" x14ac:dyDescent="0.4">
      <c r="A29" t="s">
        <v>113</v>
      </c>
      <c r="B29" s="1" t="s">
        <v>118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b">
        <f t="shared" si="0"/>
        <v>1</v>
      </c>
    </row>
    <row r="30" spans="1:8" x14ac:dyDescent="0.4">
      <c r="A30" t="s">
        <v>113</v>
      </c>
      <c r="B30" s="1" t="s">
        <v>119</v>
      </c>
      <c r="G30" t="s">
        <v>0</v>
      </c>
      <c r="H30" t="b">
        <f t="shared" si="0"/>
        <v>0</v>
      </c>
    </row>
    <row r="31" spans="1:8" ht="37.5" x14ac:dyDescent="0.4">
      <c r="A31" t="s">
        <v>113</v>
      </c>
      <c r="B31" s="1" t="s">
        <v>120</v>
      </c>
      <c r="C31" t="s">
        <v>0</v>
      </c>
      <c r="H31" t="b">
        <f t="shared" si="0"/>
        <v>0</v>
      </c>
    </row>
    <row r="32" spans="1:8" x14ac:dyDescent="0.4">
      <c r="A32" t="s">
        <v>113</v>
      </c>
      <c r="B32" s="1" t="s">
        <v>121</v>
      </c>
      <c r="D32" t="s">
        <v>0</v>
      </c>
      <c r="F32" t="s">
        <v>0</v>
      </c>
      <c r="H32" t="b">
        <f t="shared" si="0"/>
        <v>1</v>
      </c>
    </row>
    <row r="33" spans="1:8" x14ac:dyDescent="0.4">
      <c r="A33" t="s">
        <v>122</v>
      </c>
      <c r="B33" s="1" t="s">
        <v>123</v>
      </c>
      <c r="D33" t="s">
        <v>0</v>
      </c>
      <c r="F33" t="s">
        <v>0</v>
      </c>
      <c r="H33" t="b">
        <f t="shared" si="0"/>
        <v>1</v>
      </c>
    </row>
    <row r="34" spans="1:8" x14ac:dyDescent="0.4">
      <c r="A34" t="s">
        <v>122</v>
      </c>
      <c r="B34" s="1" t="s">
        <v>124</v>
      </c>
      <c r="D34" t="s">
        <v>0</v>
      </c>
      <c r="G34" t="s">
        <v>0</v>
      </c>
      <c r="H34" t="b">
        <f t="shared" si="0"/>
        <v>1</v>
      </c>
    </row>
    <row r="35" spans="1:8" x14ac:dyDescent="0.4">
      <c r="A35" t="s">
        <v>122</v>
      </c>
      <c r="B35" s="1" t="s">
        <v>125</v>
      </c>
      <c r="C35" t="s">
        <v>0</v>
      </c>
      <c r="D35" t="s">
        <v>0</v>
      </c>
      <c r="E35" t="s">
        <v>0</v>
      </c>
      <c r="F35" t="s">
        <v>0</v>
      </c>
      <c r="H35" t="b">
        <f t="shared" si="0"/>
        <v>1</v>
      </c>
    </row>
    <row r="36" spans="1:8" x14ac:dyDescent="0.4">
      <c r="A36" t="s">
        <v>126</v>
      </c>
      <c r="B36" s="1" t="s">
        <v>127</v>
      </c>
      <c r="C36" t="s">
        <v>0</v>
      </c>
      <c r="G36" t="s">
        <v>0</v>
      </c>
      <c r="H36" t="b">
        <f t="shared" si="0"/>
        <v>1</v>
      </c>
    </row>
    <row r="37" spans="1:8" x14ac:dyDescent="0.4">
      <c r="A37" t="s">
        <v>126</v>
      </c>
      <c r="B37" s="1" t="s">
        <v>128</v>
      </c>
      <c r="C37" t="s">
        <v>0</v>
      </c>
      <c r="G37" t="s">
        <v>0</v>
      </c>
      <c r="H37" t="b">
        <f t="shared" si="0"/>
        <v>1</v>
      </c>
    </row>
    <row r="38" spans="1:8" x14ac:dyDescent="0.4">
      <c r="A38" t="s">
        <v>126</v>
      </c>
      <c r="B38" s="1" t="s">
        <v>129</v>
      </c>
      <c r="C38" t="s">
        <v>0</v>
      </c>
      <c r="E38" t="s">
        <v>0</v>
      </c>
      <c r="G38" t="s">
        <v>0</v>
      </c>
      <c r="H38" t="b">
        <f t="shared" si="0"/>
        <v>1</v>
      </c>
    </row>
    <row r="39" spans="1:8" x14ac:dyDescent="0.4">
      <c r="A39" t="s">
        <v>126</v>
      </c>
      <c r="B39" s="1" t="s">
        <v>130</v>
      </c>
      <c r="C39" t="s">
        <v>0</v>
      </c>
      <c r="E39" t="s">
        <v>0</v>
      </c>
      <c r="F39" t="s">
        <v>0</v>
      </c>
      <c r="G39" t="s">
        <v>0</v>
      </c>
      <c r="H39" t="b">
        <f t="shared" si="0"/>
        <v>1</v>
      </c>
    </row>
    <row r="40" spans="1:8" x14ac:dyDescent="0.4">
      <c r="A40" t="s">
        <v>126</v>
      </c>
      <c r="B40" s="1" t="s">
        <v>131</v>
      </c>
      <c r="G40" t="s">
        <v>0</v>
      </c>
      <c r="H40" t="b">
        <f t="shared" si="0"/>
        <v>0</v>
      </c>
    </row>
    <row r="41" spans="1:8" x14ac:dyDescent="0.4">
      <c r="A41" t="s">
        <v>126</v>
      </c>
      <c r="B41" s="1" t="s">
        <v>132</v>
      </c>
      <c r="E41" t="s">
        <v>0</v>
      </c>
      <c r="H41" t="b">
        <f t="shared" si="0"/>
        <v>0</v>
      </c>
    </row>
  </sheetData>
  <phoneticPr fontId="1"/>
  <conditionalFormatting sqref="A3:G41">
    <cfRule type="expression" dxfId="1" priority="1">
      <formula>$H2=1</formula>
    </cfRule>
  </conditionalFormatting>
  <conditionalFormatting sqref="A2:G2">
    <cfRule type="expression" dxfId="0" priority="4">
      <formula>#REF!=1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468E-B241-4319-B4FD-1B1BA6628E5E}">
  <dimension ref="A1:F5"/>
  <sheetViews>
    <sheetView workbookViewId="0">
      <selection activeCell="F45" sqref="F45"/>
    </sheetView>
  </sheetViews>
  <sheetFormatPr defaultRowHeight="18.75" x14ac:dyDescent="0.4"/>
  <cols>
    <col min="1" max="1" width="25.375" customWidth="1"/>
  </cols>
  <sheetData>
    <row r="1" spans="1:6" x14ac:dyDescent="0.4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65</v>
      </c>
      <c r="C2">
        <v>25</v>
      </c>
      <c r="D2">
        <v>69</v>
      </c>
      <c r="E2">
        <v>82</v>
      </c>
      <c r="F2">
        <f>AVERAGE(B2:E2)</f>
        <v>60.25</v>
      </c>
    </row>
    <row r="3" spans="1:6" x14ac:dyDescent="0.4">
      <c r="A3" t="s">
        <v>7</v>
      </c>
      <c r="B3">
        <v>37</v>
      </c>
      <c r="C3">
        <v>68</v>
      </c>
      <c r="D3">
        <v>41</v>
      </c>
      <c r="E3">
        <v>107</v>
      </c>
      <c r="F3">
        <f t="shared" ref="F3:F4" si="0">AVERAGE(B3:E3)</f>
        <v>63.25</v>
      </c>
    </row>
    <row r="4" spans="1:6" x14ac:dyDescent="0.4">
      <c r="A4" t="s">
        <v>8</v>
      </c>
      <c r="B4">
        <v>88</v>
      </c>
      <c r="C4">
        <v>65</v>
      </c>
      <c r="D4">
        <v>33</v>
      </c>
      <c r="E4">
        <v>111</v>
      </c>
      <c r="F4">
        <f t="shared" si="0"/>
        <v>74.25</v>
      </c>
    </row>
    <row r="5" spans="1:6" x14ac:dyDescent="0.4">
      <c r="A5" t="s">
        <v>133</v>
      </c>
      <c r="B5">
        <f>SUM(B2:B4)</f>
        <v>190</v>
      </c>
      <c r="C5">
        <f t="shared" ref="C5:E5" si="1">SUM(C2:C4)</f>
        <v>158</v>
      </c>
      <c r="D5">
        <f t="shared" si="1"/>
        <v>143</v>
      </c>
      <c r="E5">
        <f t="shared" si="1"/>
        <v>300</v>
      </c>
      <c r="F5">
        <f>SUM(F2:F4)</f>
        <v>197.75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Password strength checker</vt:lpstr>
      <vt:lpstr>Unit converter</vt:lpstr>
      <vt:lpstr>Budget planner</vt:lpstr>
      <vt:lpstr>minutes for manual test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切貫弘之</dc:creator>
  <cp:lastModifiedBy>Hiroyuki Kirinuki (NTT_RD)</cp:lastModifiedBy>
  <cp:lastPrinted>2023-09-14T08:30:30Z</cp:lastPrinted>
  <dcterms:created xsi:type="dcterms:W3CDTF">2023-09-14T08:24:54Z</dcterms:created>
  <dcterms:modified xsi:type="dcterms:W3CDTF">2024-01-10T02:07:58Z</dcterms:modified>
</cp:coreProperties>
</file>