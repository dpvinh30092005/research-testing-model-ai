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aiLieu\Testing\v2\"/>
    </mc:Choice>
  </mc:AlternateContent>
  <xr:revisionPtr revIDLastSave="0" documentId="13_ncr:1_{743B20B6-7444-4FC8-A6DC-10282B162480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Password strength checker" sheetId="1" r:id="rId1"/>
    <sheet name="Unit converter" sheetId="2" r:id="rId2"/>
    <sheet name="Budget planner" sheetId="3" r:id="rId3"/>
    <sheet name="minutes for manual test design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" i="4" l="1"/>
  <c r="C5" i="4"/>
  <c r="D5" i="4"/>
  <c r="E5" i="4"/>
  <c r="N37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2" i="1"/>
  <c r="N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F4" i="4"/>
  <c r="F3" i="4"/>
  <c r="F2" i="4"/>
  <c r="F5" i="4" s="1"/>
  <c r="M2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</calcChain>
</file>

<file path=xl/sharedStrings.xml><?xml version="1.0" encoding="utf-8"?>
<sst xmlns="http://schemas.openxmlformats.org/spreadsheetml/2006/main" count="828" uniqueCount="227">
  <si>
    <t>OK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</si>
  <si>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</si>
  <si>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</si>
  <si>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</si>
  <si>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</si>
  <si>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Avg.</t>
    <phoneticPr fontId="1"/>
  </si>
  <si>
    <t>Password strength checker</t>
    <phoneticPr fontId="1"/>
  </si>
  <si>
    <t>Unit converter</t>
    <phoneticPr fontId="1"/>
  </si>
  <si>
    <t>Budget planner</t>
    <phoneticPr fontId="1"/>
  </si>
  <si>
    <t>Category</t>
  </si>
  <si>
    <t>ChatGPT</t>
  </si>
  <si>
    <t>A</t>
  </si>
  <si>
    <t>B</t>
  </si>
  <si>
    <t>C</t>
  </si>
  <si>
    <t>D</t>
  </si>
  <si>
    <t>7 characters or fewer &amp; 1 type of character</t>
  </si>
  <si>
    <t>OK</t>
  </si>
  <si>
    <t>7 characters or fewer &amp; 2 or more types of characters</t>
  </si>
  <si>
    <t>8 characters or more &amp; 1 type of character</t>
  </si>
  <si>
    <t>8,9 characters &amp; 2 or 3 types of characters (excluding symbols)</t>
  </si>
  <si>
    <t>8,9 characters &amp; 2 or more types of characters including symbols</t>
  </si>
  <si>
    <t>10 characters or more &amp; 2 or 3 types of characters (excluding symbols)</t>
  </si>
  <si>
    <t>10,11 characters &amp; 2 types of characters including symbols</t>
  </si>
  <si>
    <t>10,11 characters &amp; 3 or more types of characters including symbols</t>
  </si>
  <si>
    <t>12 characters or more &amp; 2 types of characters including symbols</t>
  </si>
  <si>
    <t>12~15 characters &amp; 3 types of characters including symbols</t>
  </si>
  <si>
    <t>12~15 characters &amp; 4 types of characters</t>
  </si>
  <si>
    <t>16 characters or more &amp; 3 types of characters including symbols</t>
  </si>
  <si>
    <t>16 characters or more &amp; 4 types of characters</t>
  </si>
  <si>
    <t>Boundary Value</t>
  </si>
  <si>
    <t>Minimum &amp; Maximum</t>
  </si>
  <si>
    <t>Minimum length (1)</t>
  </si>
  <si>
    <t>Maximum length (100)</t>
  </si>
  <si>
    <t>Character Type Combinations</t>
  </si>
  <si>
    <t>3 combinations of 2 types of characters excluding symbols</t>
  </si>
  <si>
    <t>3 combinations of 2 types of characters including symbols</t>
  </si>
  <si>
    <t>3 combinations of 3 types of characters including symbols</t>
  </si>
  <si>
    <t>Inappropriate Strings</t>
  </si>
  <si>
    <t>Failing by not providing a string</t>
  </si>
  <si>
    <t>Failing by providing multiple strings</t>
  </si>
  <si>
    <t>Failing by providing a string longer than the maximum length</t>
  </si>
  <si>
    <t>Failing by providing disallowed symbols</t>
  </si>
  <si>
    <t>Others</t>
  </si>
  <si>
    <t>Linux command line “pipe”</t>
  </si>
  <si>
    <t>Repeating the same character</t>
  </si>
  <si>
    <t>Randomly scattering types of characters evenly</t>
  </si>
  <si>
    <t>All kinds of lowercase letters</t>
  </si>
  <si>
    <t>All kinds of uppercase letters</t>
  </si>
  <si>
    <t>All digits</t>
  </si>
  <si>
    <t>Using all symbols</t>
  </si>
  <si>
    <t>Testing the alphabet in reverse order</t>
  </si>
  <si>
    <t>Testing invisible unicode characters</t>
  </si>
  <si>
    <t>Failing by providing spaces at the beginning and end</t>
  </si>
  <si>
    <t>Combination</t>
  </si>
  <si>
    <t>Exhaustive coverage of two-unit combinations for length</t>
  </si>
  <si>
    <t>All units of length appear in both source and target</t>
  </si>
  <si>
    <t>Exhaustive coverage of two-unit combinations for temperature</t>
  </si>
  <si>
    <t>All units of temperature appear in both source and target</t>
  </si>
  <si>
    <t>Unit Error</t>
  </si>
  <si>
    <t>Conversion to a unit from a different category</t>
  </si>
  <si>
    <t>Conversion between the same units</t>
  </si>
  <si>
    <t>Providing a length unit that is not supported</t>
  </si>
  <si>
    <t>Value Variation (Common)</t>
  </si>
  <si>
    <t>When the pre-conversion value is an integer</t>
  </si>
  <si>
    <t>When the pre-conversion value is a decimal</t>
  </si>
  <si>
    <t>Value Error (Common)</t>
  </si>
  <si>
    <t>Providing a value exceeding the maximum value</t>
  </si>
  <si>
    <t>Providing a value up to the third decimal place</t>
  </si>
  <si>
    <t>Providing an invalid character in the pre-conversion value</t>
  </si>
  <si>
    <t>Length Error</t>
  </si>
  <si>
    <t>When the pre-conversion value for length is negative</t>
  </si>
  <si>
    <t>When the pre-conversion value for length is zero</t>
  </si>
  <si>
    <t>Temperature Variation</t>
  </si>
  <si>
    <t>Successful conversion when the pre-conversion value in Celsius/Fahrenheit is zero</t>
  </si>
  <si>
    <t>Successful conversion when the pre-conversion value in Celsius/Fahrenheit is negative</t>
  </si>
  <si>
    <t>Temperature Error</t>
  </si>
  <si>
    <t>When the pre-conversion value in Kelvin is zero</t>
  </si>
  <si>
    <t>When the pre-conversion value in Kelvin is negative</t>
  </si>
  <si>
    <t>Giving a value smaller than the minimum for Celsius/Fahrenheit (resulting in negative Kelvin post-conversion)</t>
  </si>
  <si>
    <t>Argument Format Error</t>
  </si>
  <si>
    <t>When no value is provided</t>
  </si>
  <si>
    <t>When no 'from' is provided</t>
  </si>
  <si>
    <t>When no 'to' is provided</t>
  </si>
  <si>
    <t>Maximum/Minimum</t>
  </si>
  <si>
    <t>Providing the minimum value for length/Kelvin (0.01)</t>
  </si>
  <si>
    <t>Providing the maximum value (1000)</t>
  </si>
  <si>
    <t>Giving the minimum Celsius value (resulting in 0 Kelvin post-conversion)</t>
  </si>
  <si>
    <t>Giving the minimum Fahrenheit value (resulting in 0 Kelvin post-conversion)</t>
  </si>
  <si>
    <t>For all units of length, appearing in either source or target and successfully converting</t>
  </si>
  <si>
    <t>For all units of temperature, appearing in either source or target and successfully converting</t>
  </si>
  <si>
    <t>When multiple inputs are made for from, value, and to</t>
  </si>
  <si>
    <t>Successfully add an income</t>
  </si>
  <si>
    <t>Successfully add an expense</t>
  </si>
  <si>
    <t>Successfully remove an income</t>
  </si>
  <si>
    <t>Successfully remove an expense</t>
  </si>
  <si>
    <t>Successfully display incomes</t>
  </si>
  <si>
    <t>Successfully display expenses</t>
  </si>
  <si>
    <t>Successfully display the budget</t>
  </si>
  <si>
    <t>Amount Input</t>
  </si>
  <si>
    <t>Giving a negative number</t>
  </si>
  <si>
    <t>Not providing an amount</t>
  </si>
  <si>
    <t>Giving a decimal number</t>
  </si>
  <si>
    <t>Giving a value exceeding the maximum value</t>
  </si>
  <si>
    <t>Giving a non-numeric value</t>
  </si>
  <si>
    <t>Giving a multibyte/Unicode character</t>
  </si>
  <si>
    <t>Giving multiple amounts</t>
  </si>
  <si>
    <t>Source Input</t>
  </si>
  <si>
    <t>Not providing a source</t>
  </si>
  <si>
    <t>Giving an empty string</t>
  </si>
  <si>
    <t>Giving a non-string value</t>
  </si>
  <si>
    <t>Including a space</t>
  </si>
  <si>
    <t>Not enclosing in double quotations</t>
  </si>
  <si>
    <t>Giving multiple sources</t>
  </si>
  <si>
    <t>Internal State</t>
  </si>
  <si>
    <t>Exceeding the maximum number of registrations</t>
  </si>
  <si>
    <t>Deleting a non-existent source</t>
  </si>
  <si>
    <t>Displaying when there is no source</t>
  </si>
  <si>
    <t>Registering multiple sources</t>
  </si>
  <si>
    <t>Verifying that deletion is reflected in the state</t>
  </si>
  <si>
    <t>Registering with the same name for income or expense</t>
  </si>
  <si>
    <t>Registering an expense source with the same name as an income source (and vice versa)</t>
  </si>
  <si>
    <t>Deleting an income source as an expense (and vice versa)</t>
  </si>
  <si>
    <t>Maximum Value</t>
  </si>
  <si>
    <t>Maximum value for amount</t>
  </si>
  <si>
    <t>Maximum string length</t>
  </si>
  <si>
    <t>Maximum number of registrations</t>
  </si>
  <si>
    <t>Budget Calculation</t>
  </si>
  <si>
    <t>Having both income and expenses</t>
  </si>
  <si>
    <t>Income only</t>
  </si>
  <si>
    <t>Expenses only</t>
  </si>
  <si>
    <t>Having neither income nor expenses</t>
  </si>
  <si>
    <t>Verifying both positive and negative balances</t>
  </si>
  <si>
    <t>Having both income and expenses with the same amount</t>
  </si>
  <si>
    <t>Total</t>
    <phoneticPr fontId="1"/>
  </si>
  <si>
    <t>Category</t>
    <phoneticPr fontId="1"/>
  </si>
  <si>
    <t>4 ways to choose 1 type of character</t>
    <phoneticPr fontId="1"/>
  </si>
  <si>
    <t>String length boundary values (excluding minimum and maximum lengths)</t>
    <phoneticPr fontId="1"/>
  </si>
  <si>
    <t>Including newline characters</t>
    <phoneticPr fontId="1"/>
  </si>
  <si>
    <t>Exceeding the maximum string length</t>
    <phoneticPr fontId="1"/>
  </si>
  <si>
    <t>Giving 0</t>
    <phoneticPr fontId="1"/>
  </si>
  <si>
    <t>Test viewpoint</t>
  </si>
  <si>
    <t>Effective viewpoint?</t>
  </si>
  <si>
    <t>Test Viewpoint</t>
  </si>
  <si>
    <t>Effective Viewpoint?</t>
  </si>
  <si>
    <t>Basic Viewpoint</t>
  </si>
  <si>
    <t>Basic Viewpoint: add-income</t>
  </si>
  <si>
    <t>Basic Viewpoint: add-expense</t>
  </si>
  <si>
    <t>Basic Viewpoint: remove-income</t>
  </si>
  <si>
    <t>Basic Viewpoint: remove-expense</t>
  </si>
  <si>
    <t>Basic Viewpoint: list-income</t>
  </si>
  <si>
    <t>Basic Viewpoint: list-expense</t>
  </si>
  <si>
    <t>Basic Viewpoint: show-budget</t>
  </si>
  <si>
    <t>Basic Viewpoint: Very Weak judgment</t>
  </si>
  <si>
    <t>Basic Viewpoint: Weak judgment</t>
  </si>
  <si>
    <t>Basic Viewpoint: Medium judgment</t>
  </si>
  <si>
    <t>Basic Viewpoint: Strong judgment</t>
  </si>
  <si>
    <t>Basic Viewpoint: Very Strong judgment</t>
  </si>
  <si>
    <t xml:space="preserve">Gemini 3.1 </t>
  </si>
  <si>
    <t>Num. Test Case</t>
  </si>
  <si>
    <t>6,7,8,9</t>
  </si>
  <si>
    <t>17,18,22</t>
  </si>
  <si>
    <t>11,23,30</t>
  </si>
  <si>
    <t>31,38,39</t>
  </si>
  <si>
    <t>Gemini 3.1</t>
  </si>
  <si>
    <t>Num. Test cases</t>
  </si>
  <si>
    <t>23,24</t>
  </si>
  <si>
    <t>42,43</t>
  </si>
  <si>
    <t>49,50</t>
  </si>
  <si>
    <t>28,27</t>
  </si>
  <si>
    <t>22,23,24</t>
  </si>
  <si>
    <t>37,38,39</t>
  </si>
  <si>
    <t>1..12</t>
  </si>
  <si>
    <t>13..18</t>
  </si>
  <si>
    <t>40,41,42</t>
  </si>
  <si>
    <t>43,44,45</t>
  </si>
  <si>
    <t>1,3,5,7,9,11</t>
  </si>
  <si>
    <t>2,4,6,8,10,12</t>
  </si>
  <si>
    <t>35,37,46,49</t>
  </si>
  <si>
    <t>36,38,47,50</t>
  </si>
  <si>
    <t>39…45,48</t>
  </si>
  <si>
    <t>13,14</t>
  </si>
  <si>
    <t>15,16</t>
  </si>
  <si>
    <t>19,20</t>
  </si>
  <si>
    <t>17,18</t>
  </si>
  <si>
    <t>21,22</t>
  </si>
  <si>
    <t>Num. Test case</t>
  </si>
  <si>
    <t xml:space="preserve">Sonnet 4.6 </t>
  </si>
  <si>
    <t>Effective viewpoint</t>
  </si>
  <si>
    <t>56,44,43</t>
  </si>
  <si>
    <t>27,28</t>
  </si>
  <si>
    <t>53,54</t>
  </si>
  <si>
    <t>1,2,3,4</t>
  </si>
  <si>
    <t>9,10,11</t>
  </si>
  <si>
    <t>14,44,52</t>
  </si>
  <si>
    <t>23,24,25</t>
  </si>
  <si>
    <t>46,47</t>
  </si>
  <si>
    <t>1,2</t>
  </si>
  <si>
    <t>1,2,3</t>
  </si>
  <si>
    <t>5,6</t>
  </si>
  <si>
    <t>23,22,24</t>
  </si>
  <si>
    <t>6, 7, 42, 43</t>
  </si>
  <si>
    <t>5, 8, 47</t>
  </si>
  <si>
    <t>1, 2, 3, 4, 51</t>
  </si>
  <si>
    <t>9, 10, 11, 12, 13</t>
  </si>
  <si>
    <t>14, 15, 44, 52</t>
  </si>
  <si>
    <t xml:space="preserve">20, 21, 33, 50, </t>
  </si>
  <si>
    <t>16, 17, 18, 19, 48</t>
  </si>
  <si>
    <t xml:space="preserve">45, 46, 53, </t>
  </si>
  <si>
    <t>22, 39, 40, 41</t>
  </si>
  <si>
    <t>23, 24, 25 26, 27, 49, 55</t>
  </si>
  <si>
    <t>28, 29, 32</t>
  </si>
  <si>
    <t>1…12, 56</t>
  </si>
  <si>
    <t>13…18, 57, 58</t>
  </si>
  <si>
    <t>40…42</t>
  </si>
  <si>
    <t>43…45</t>
  </si>
  <si>
    <t>1, 21,23, 25, 52,56</t>
  </si>
  <si>
    <t>2, 22, 24, 26, 54, 57</t>
  </si>
  <si>
    <t>3, 5, 11, 15, 19</t>
  </si>
  <si>
    <t>4, 6, 12, 16, 20</t>
  </si>
  <si>
    <t>7…10, 17, 18, 45, 58, 59, 60</t>
  </si>
  <si>
    <t>29, 30</t>
  </si>
  <si>
    <t>31, 32</t>
  </si>
  <si>
    <t>48, 49</t>
  </si>
  <si>
    <t>35, 36</t>
  </si>
  <si>
    <t>33, 34</t>
  </si>
  <si>
    <t>37, 38</t>
  </si>
  <si>
    <t>Failing by providing multibyte/unicode characters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</si>
</sst>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charset val="128"/>
      <scheme val="minor"/>
    </font>
    <font>
      <sz val="6"/>
      <name val="Calibri"/>
      <family val="2"/>
      <charset val="128"/>
      <scheme val="minor"/>
    </font>
    <font>
      <sz val="11"/>
      <color rgb="FFFF0000"/>
      <name val="Calibri"/>
      <family val="2"/>
      <charset val="128"/>
      <scheme val="minor"/>
    </font>
    <font>
      <sz val="11"/>
      <color theme="4"/>
      <name val="Calibri"/>
      <family val="2"/>
      <charset val="128"/>
      <scheme val="minor"/>
    </font>
    <font>
      <sz val="11"/>
      <color theme="9"/>
      <name val="Calibri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right"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0" borderId="0" xfId="0" applyFill="1">
      <alignment vertical="center"/>
    </xf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16" fontId="0" fillId="0" borderId="0" xfId="0" applyNumberForma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2" fillId="0" borderId="0" xfId="0" applyFont="1" applyAlignment="1">
      <alignment horizontal="right" vertical="center" wrapText="1"/>
    </xf>
  </cellXfs>
  <cellStyles count="1">
    <cellStyle name="Normal" xfId="0" builtinId="0"/>
  </cellStyles>
  <dxfs count="13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7"/>
  <sheetViews>
    <sheetView topLeftCell="A4" workbookViewId="0">
      <selection activeCell="D15" sqref="D15"/>
    </sheetView>
  </sheetViews>
  <sheetFormatPr defaultRowHeight="14.4"/>
  <cols>
    <col min="1" max="1" width="37.44140625" customWidth="1"/>
    <col min="2" max="2" width="66.109375" customWidth="1"/>
    <col min="3" max="3" width="11.88671875" customWidth="1"/>
    <col min="4" max="4" width="9.5546875" customWidth="1"/>
    <col min="5" max="5" width="9.6640625" customWidth="1"/>
    <col min="6" max="6" width="20.88671875" customWidth="1"/>
    <col min="7" max="7" width="9.44140625" customWidth="1"/>
    <col min="8" max="8" width="14.88671875" customWidth="1"/>
    <col min="9" max="9" width="7.5546875" customWidth="1"/>
    <col min="10" max="13" width="4.109375" bestFit="1" customWidth="1"/>
    <col min="14" max="14" width="21.33203125" bestFit="1" customWidth="1"/>
  </cols>
  <sheetData>
    <row r="1" spans="1:14">
      <c r="A1" t="s">
        <v>134</v>
      </c>
      <c r="B1" t="s">
        <v>140</v>
      </c>
      <c r="C1" t="s">
        <v>185</v>
      </c>
      <c r="D1" t="s">
        <v>186</v>
      </c>
      <c r="E1" t="s">
        <v>187</v>
      </c>
      <c r="F1" t="s">
        <v>158</v>
      </c>
      <c r="G1" t="s">
        <v>157</v>
      </c>
      <c r="H1" t="s">
        <v>141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141</v>
      </c>
    </row>
    <row r="2" spans="1:14">
      <c r="A2" s="12" t="s">
        <v>152</v>
      </c>
      <c r="B2" s="12" t="s">
        <v>15</v>
      </c>
      <c r="C2" t="s">
        <v>200</v>
      </c>
      <c r="D2" t="s">
        <v>16</v>
      </c>
      <c r="F2">
        <v>5</v>
      </c>
      <c r="G2" t="s">
        <v>16</v>
      </c>
      <c r="I2" t="s">
        <v>16</v>
      </c>
      <c r="J2" t="s">
        <v>16</v>
      </c>
      <c r="K2" t="s">
        <v>16</v>
      </c>
      <c r="L2" t="s">
        <v>16</v>
      </c>
      <c r="N2" t="b">
        <f>COUNTIF(I2:M2,"&lt;&gt;")&gt;1</f>
        <v>1</v>
      </c>
    </row>
    <row r="3" spans="1:14">
      <c r="A3" s="12" t="s">
        <v>152</v>
      </c>
      <c r="B3" s="12" t="s">
        <v>17</v>
      </c>
      <c r="C3" t="s">
        <v>201</v>
      </c>
      <c r="D3" t="s">
        <v>16</v>
      </c>
      <c r="F3">
        <v>10</v>
      </c>
      <c r="G3" t="s">
        <v>16</v>
      </c>
      <c r="J3" t="s">
        <v>16</v>
      </c>
      <c r="K3" t="s">
        <v>16</v>
      </c>
      <c r="M3" t="s">
        <v>16</v>
      </c>
      <c r="N3" t="b">
        <f t="shared" ref="N3:N36" si="0">COUNTIF(I3:M3,"&lt;&gt;")&gt;1</f>
        <v>1</v>
      </c>
    </row>
    <row r="4" spans="1:14">
      <c r="A4" s="12" t="s">
        <v>152</v>
      </c>
      <c r="B4" s="12" t="s">
        <v>18</v>
      </c>
      <c r="C4" t="s">
        <v>202</v>
      </c>
      <c r="D4" t="s">
        <v>16</v>
      </c>
      <c r="F4">
        <v>14</v>
      </c>
      <c r="G4" t="s">
        <v>16</v>
      </c>
      <c r="I4" t="s">
        <v>16</v>
      </c>
      <c r="J4" t="s">
        <v>16</v>
      </c>
      <c r="K4" t="s">
        <v>16</v>
      </c>
      <c r="L4" t="s">
        <v>16</v>
      </c>
      <c r="M4" t="s">
        <v>16</v>
      </c>
      <c r="N4" t="b">
        <f t="shared" si="0"/>
        <v>1</v>
      </c>
    </row>
    <row r="5" spans="1:14">
      <c r="A5" s="12" t="s">
        <v>153</v>
      </c>
      <c r="B5" s="12" t="s">
        <v>19</v>
      </c>
      <c r="C5" t="s">
        <v>203</v>
      </c>
      <c r="D5" t="s">
        <v>16</v>
      </c>
      <c r="F5">
        <v>17</v>
      </c>
      <c r="G5" t="s">
        <v>16</v>
      </c>
      <c r="I5" t="s">
        <v>16</v>
      </c>
      <c r="J5" t="s">
        <v>16</v>
      </c>
      <c r="K5" t="s">
        <v>16</v>
      </c>
      <c r="L5" t="s">
        <v>16</v>
      </c>
      <c r="M5" t="s">
        <v>16</v>
      </c>
      <c r="N5" t="b">
        <f t="shared" si="0"/>
        <v>1</v>
      </c>
    </row>
    <row r="6" spans="1:14">
      <c r="A6" s="12" t="s">
        <v>153</v>
      </c>
      <c r="B6" s="12" t="s">
        <v>20</v>
      </c>
      <c r="C6" t="s">
        <v>204</v>
      </c>
      <c r="D6" t="s">
        <v>16</v>
      </c>
      <c r="F6">
        <v>24</v>
      </c>
      <c r="G6" t="s">
        <v>16</v>
      </c>
      <c r="I6" t="s">
        <v>16</v>
      </c>
      <c r="K6" t="s">
        <v>16</v>
      </c>
      <c r="L6" t="s">
        <v>16</v>
      </c>
      <c r="M6" t="s">
        <v>16</v>
      </c>
      <c r="N6" t="b">
        <f t="shared" si="0"/>
        <v>1</v>
      </c>
    </row>
    <row r="7" spans="1:14">
      <c r="A7" s="12" t="s">
        <v>153</v>
      </c>
      <c r="B7" s="12" t="s">
        <v>21</v>
      </c>
      <c r="C7" t="s">
        <v>205</v>
      </c>
      <c r="D7" t="s">
        <v>16</v>
      </c>
      <c r="F7">
        <v>25</v>
      </c>
      <c r="G7" t="s">
        <v>16</v>
      </c>
      <c r="I7" t="s">
        <v>16</v>
      </c>
      <c r="J7" t="s">
        <v>16</v>
      </c>
      <c r="K7" t="s">
        <v>16</v>
      </c>
      <c r="L7" t="s">
        <v>16</v>
      </c>
      <c r="M7" t="s">
        <v>16</v>
      </c>
      <c r="N7" t="b">
        <f t="shared" si="0"/>
        <v>1</v>
      </c>
    </row>
    <row r="8" spans="1:14">
      <c r="A8" s="12" t="s">
        <v>154</v>
      </c>
      <c r="B8" s="12" t="s">
        <v>22</v>
      </c>
      <c r="C8" t="s">
        <v>206</v>
      </c>
      <c r="D8" t="s">
        <v>16</v>
      </c>
      <c r="F8">
        <v>28</v>
      </c>
      <c r="G8" t="s">
        <v>16</v>
      </c>
      <c r="I8" t="s">
        <v>16</v>
      </c>
      <c r="J8" t="s">
        <v>16</v>
      </c>
      <c r="K8" t="s">
        <v>16</v>
      </c>
      <c r="L8" t="s">
        <v>16</v>
      </c>
      <c r="N8" t="b">
        <f t="shared" si="0"/>
        <v>1</v>
      </c>
    </row>
    <row r="9" spans="1:14">
      <c r="A9" s="12" t="s">
        <v>154</v>
      </c>
      <c r="B9" s="12" t="s">
        <v>23</v>
      </c>
      <c r="C9" t="s">
        <v>207</v>
      </c>
      <c r="D9" t="s">
        <v>16</v>
      </c>
      <c r="F9">
        <v>31</v>
      </c>
      <c r="G9" t="s">
        <v>16</v>
      </c>
      <c r="I9" t="s">
        <v>16</v>
      </c>
      <c r="K9" t="s">
        <v>16</v>
      </c>
      <c r="M9" t="s">
        <v>16</v>
      </c>
      <c r="N9" t="b">
        <f t="shared" si="0"/>
        <v>1</v>
      </c>
    </row>
    <row r="10" spans="1:14">
      <c r="A10" s="12" t="s">
        <v>154</v>
      </c>
      <c r="B10" s="12" t="s">
        <v>24</v>
      </c>
      <c r="C10" t="s">
        <v>208</v>
      </c>
      <c r="D10" t="s">
        <v>16</v>
      </c>
      <c r="F10">
        <v>33</v>
      </c>
      <c r="G10" t="s">
        <v>16</v>
      </c>
      <c r="J10" t="s">
        <v>16</v>
      </c>
      <c r="L10" t="s">
        <v>16</v>
      </c>
      <c r="M10" t="s">
        <v>16</v>
      </c>
      <c r="N10" t="b">
        <f t="shared" si="0"/>
        <v>1</v>
      </c>
    </row>
    <row r="11" spans="1:14">
      <c r="A11" s="12" t="s">
        <v>155</v>
      </c>
      <c r="B11" s="12" t="s">
        <v>25</v>
      </c>
      <c r="C11" t="s">
        <v>209</v>
      </c>
      <c r="D11" t="s">
        <v>16</v>
      </c>
      <c r="F11">
        <v>37</v>
      </c>
      <c r="G11" t="s">
        <v>16</v>
      </c>
      <c r="I11" t="s">
        <v>16</v>
      </c>
      <c r="J11" t="s">
        <v>16</v>
      </c>
      <c r="K11" t="s">
        <v>16</v>
      </c>
      <c r="L11" t="s">
        <v>16</v>
      </c>
      <c r="N11" t="b">
        <f t="shared" si="0"/>
        <v>1</v>
      </c>
    </row>
    <row r="12" spans="1:14">
      <c r="A12" s="12" t="s">
        <v>155</v>
      </c>
      <c r="B12" s="12" t="s">
        <v>26</v>
      </c>
      <c r="C12" t="s">
        <v>210</v>
      </c>
      <c r="D12" t="s">
        <v>16</v>
      </c>
      <c r="F12">
        <v>40</v>
      </c>
      <c r="G12" t="s">
        <v>16</v>
      </c>
      <c r="K12" t="s">
        <v>16</v>
      </c>
      <c r="M12" t="s">
        <v>16</v>
      </c>
      <c r="N12" t="b">
        <f t="shared" si="0"/>
        <v>1</v>
      </c>
    </row>
    <row r="13" spans="1:14">
      <c r="A13" s="12" t="s">
        <v>155</v>
      </c>
      <c r="B13" s="12" t="s">
        <v>27</v>
      </c>
      <c r="F13">
        <v>42</v>
      </c>
      <c r="G13" t="s">
        <v>16</v>
      </c>
      <c r="I13" t="s">
        <v>16</v>
      </c>
      <c r="J13" t="s">
        <v>16</v>
      </c>
      <c r="K13" t="s">
        <v>16</v>
      </c>
      <c r="L13" t="s">
        <v>16</v>
      </c>
      <c r="M13" t="s">
        <v>16</v>
      </c>
      <c r="N13" t="b">
        <f t="shared" si="0"/>
        <v>1</v>
      </c>
    </row>
    <row r="14" spans="1:14">
      <c r="A14" s="13" t="s">
        <v>156</v>
      </c>
      <c r="B14" s="13" t="s">
        <v>28</v>
      </c>
      <c r="C14" s="4">
        <v>30</v>
      </c>
      <c r="D14" t="s">
        <v>16</v>
      </c>
      <c r="F14">
        <v>44</v>
      </c>
      <c r="G14" t="s">
        <v>16</v>
      </c>
      <c r="I14" t="s">
        <v>16</v>
      </c>
      <c r="J14" t="s">
        <v>16</v>
      </c>
      <c r="K14" t="s">
        <v>16</v>
      </c>
      <c r="L14" t="s">
        <v>16</v>
      </c>
      <c r="M14" t="s">
        <v>16</v>
      </c>
      <c r="N14" t="b">
        <f t="shared" si="0"/>
        <v>1</v>
      </c>
    </row>
    <row r="15" spans="1:14">
      <c r="A15" s="13" t="s">
        <v>29</v>
      </c>
      <c r="B15" s="13" t="s">
        <v>136</v>
      </c>
      <c r="C15" s="4"/>
      <c r="F15">
        <v>4</v>
      </c>
      <c r="G15" t="s">
        <v>16</v>
      </c>
      <c r="K15" t="s">
        <v>16</v>
      </c>
      <c r="L15" t="s">
        <v>16</v>
      </c>
      <c r="M15" t="s">
        <v>16</v>
      </c>
      <c r="N15" t="b">
        <f t="shared" si="0"/>
        <v>1</v>
      </c>
    </row>
    <row r="16" spans="1:14">
      <c r="A16" s="13" t="s">
        <v>30</v>
      </c>
      <c r="B16" s="13" t="s">
        <v>31</v>
      </c>
      <c r="C16" s="4">
        <v>6</v>
      </c>
      <c r="D16" t="s">
        <v>16</v>
      </c>
      <c r="F16">
        <v>5</v>
      </c>
      <c r="G16" t="s">
        <v>16</v>
      </c>
      <c r="L16" t="s">
        <v>16</v>
      </c>
      <c r="N16" t="b">
        <f t="shared" si="0"/>
        <v>0</v>
      </c>
    </row>
    <row r="17" spans="1:14">
      <c r="A17" s="13" t="s">
        <v>30</v>
      </c>
      <c r="B17" s="13" t="s">
        <v>32</v>
      </c>
      <c r="C17" s="4">
        <v>34</v>
      </c>
      <c r="D17" t="s">
        <v>16</v>
      </c>
      <c r="F17">
        <v>47</v>
      </c>
      <c r="G17" t="s">
        <v>16</v>
      </c>
      <c r="J17" t="s">
        <v>16</v>
      </c>
      <c r="L17" t="s">
        <v>16</v>
      </c>
      <c r="M17" t="s">
        <v>16</v>
      </c>
      <c r="N17" t="b">
        <f t="shared" si="0"/>
        <v>1</v>
      </c>
    </row>
    <row r="18" spans="1:14">
      <c r="A18" s="13" t="s">
        <v>33</v>
      </c>
      <c r="B18" s="13" t="s">
        <v>135</v>
      </c>
      <c r="C18" s="4" t="s">
        <v>191</v>
      </c>
      <c r="D18" t="s">
        <v>16</v>
      </c>
      <c r="F18" s="4" t="s">
        <v>159</v>
      </c>
      <c r="G18" t="s">
        <v>16</v>
      </c>
      <c r="I18" t="s">
        <v>16</v>
      </c>
      <c r="K18" t="s">
        <v>16</v>
      </c>
      <c r="L18" t="s">
        <v>16</v>
      </c>
      <c r="M18" t="s">
        <v>16</v>
      </c>
      <c r="N18" t="b">
        <f t="shared" si="0"/>
        <v>1</v>
      </c>
    </row>
    <row r="19" spans="1:14">
      <c r="A19" s="13" t="s">
        <v>33</v>
      </c>
      <c r="B19" s="13" t="s">
        <v>34</v>
      </c>
      <c r="C19" s="4" t="s">
        <v>192</v>
      </c>
      <c r="D19" t="s">
        <v>16</v>
      </c>
      <c r="F19" s="4" t="s">
        <v>160</v>
      </c>
      <c r="G19" t="s">
        <v>16</v>
      </c>
      <c r="I19" t="s">
        <v>16</v>
      </c>
      <c r="K19" t="s">
        <v>16</v>
      </c>
      <c r="L19" t="s">
        <v>16</v>
      </c>
      <c r="M19" t="s">
        <v>16</v>
      </c>
      <c r="N19" t="b">
        <f t="shared" si="0"/>
        <v>1</v>
      </c>
    </row>
    <row r="20" spans="1:14">
      <c r="A20" s="13" t="s">
        <v>33</v>
      </c>
      <c r="B20" s="13" t="s">
        <v>35</v>
      </c>
      <c r="C20" s="4" t="s">
        <v>193</v>
      </c>
      <c r="D20" t="s">
        <v>16</v>
      </c>
      <c r="F20" s="4" t="s">
        <v>161</v>
      </c>
      <c r="G20" t="s">
        <v>16</v>
      </c>
      <c r="I20" t="s">
        <v>16</v>
      </c>
      <c r="K20" t="s">
        <v>16</v>
      </c>
      <c r="L20" t="s">
        <v>16</v>
      </c>
      <c r="M20" t="s">
        <v>16</v>
      </c>
      <c r="N20" t="b">
        <f t="shared" si="0"/>
        <v>1</v>
      </c>
    </row>
    <row r="21" spans="1:14">
      <c r="A21" s="13" t="s">
        <v>33</v>
      </c>
      <c r="B21" s="13" t="s">
        <v>36</v>
      </c>
      <c r="C21" s="4" t="s">
        <v>194</v>
      </c>
      <c r="D21" t="s">
        <v>16</v>
      </c>
      <c r="F21" s="4" t="s">
        <v>162</v>
      </c>
      <c r="G21" t="s">
        <v>16</v>
      </c>
      <c r="I21" t="s">
        <v>16</v>
      </c>
      <c r="K21" t="s">
        <v>16</v>
      </c>
      <c r="L21" t="s">
        <v>16</v>
      </c>
      <c r="M21" t="s">
        <v>16</v>
      </c>
      <c r="N21" t="b">
        <f t="shared" si="0"/>
        <v>1</v>
      </c>
    </row>
    <row r="22" spans="1:14">
      <c r="A22" s="13" t="s">
        <v>37</v>
      </c>
      <c r="B22" s="13" t="s">
        <v>38</v>
      </c>
      <c r="C22" s="4">
        <v>36</v>
      </c>
      <c r="D22" t="s">
        <v>16</v>
      </c>
      <c r="F22">
        <v>1</v>
      </c>
      <c r="G22" t="s">
        <v>16</v>
      </c>
      <c r="I22" t="s">
        <v>16</v>
      </c>
      <c r="J22" t="s">
        <v>16</v>
      </c>
      <c r="K22" t="s">
        <v>16</v>
      </c>
      <c r="M22" t="s">
        <v>16</v>
      </c>
      <c r="N22" t="b">
        <f t="shared" si="0"/>
        <v>1</v>
      </c>
    </row>
    <row r="23" spans="1:14">
      <c r="A23" s="13" t="s">
        <v>37</v>
      </c>
      <c r="B23" s="13" t="s">
        <v>39</v>
      </c>
      <c r="C23" s="4">
        <v>37</v>
      </c>
      <c r="D23" t="s">
        <v>16</v>
      </c>
      <c r="F23">
        <v>3</v>
      </c>
      <c r="G23" t="s">
        <v>16</v>
      </c>
      <c r="I23" t="s">
        <v>16</v>
      </c>
      <c r="J23" t="s">
        <v>16</v>
      </c>
      <c r="M23" t="s">
        <v>16</v>
      </c>
      <c r="N23" t="b">
        <f t="shared" si="0"/>
        <v>1</v>
      </c>
    </row>
    <row r="24" spans="1:14">
      <c r="A24" s="13" t="s">
        <v>37</v>
      </c>
      <c r="B24" s="13" t="s">
        <v>40</v>
      </c>
      <c r="C24" s="4">
        <v>35</v>
      </c>
      <c r="D24" t="s">
        <v>16</v>
      </c>
      <c r="F24">
        <v>4</v>
      </c>
      <c r="G24" t="s">
        <v>16</v>
      </c>
      <c r="I24" t="s">
        <v>16</v>
      </c>
      <c r="J24" t="s">
        <v>16</v>
      </c>
      <c r="K24" t="s">
        <v>16</v>
      </c>
      <c r="L24" t="s">
        <v>16</v>
      </c>
      <c r="M24" t="s">
        <v>16</v>
      </c>
      <c r="N24" t="b">
        <f t="shared" si="0"/>
        <v>1</v>
      </c>
    </row>
    <row r="25" spans="1:14">
      <c r="A25" s="13" t="s">
        <v>37</v>
      </c>
      <c r="B25" s="13" t="s">
        <v>41</v>
      </c>
      <c r="I25" t="s">
        <v>16</v>
      </c>
      <c r="N25" t="b">
        <f t="shared" si="0"/>
        <v>0</v>
      </c>
    </row>
    <row r="26" spans="1:14">
      <c r="A26" s="2" t="s">
        <v>37</v>
      </c>
      <c r="B26" t="s">
        <v>226</v>
      </c>
      <c r="I26" t="s">
        <v>16</v>
      </c>
      <c r="J26" t="s">
        <v>16</v>
      </c>
      <c r="K26" t="s">
        <v>16</v>
      </c>
      <c r="L26" t="s">
        <v>16</v>
      </c>
      <c r="M26" t="s">
        <v>16</v>
      </c>
      <c r="N26" t="b">
        <f t="shared" si="0"/>
        <v>1</v>
      </c>
    </row>
    <row r="27" spans="1:14">
      <c r="A27" s="2" t="s">
        <v>37</v>
      </c>
      <c r="B27" t="s">
        <v>137</v>
      </c>
      <c r="J27" t="s">
        <v>16</v>
      </c>
      <c r="N27" t="b">
        <f t="shared" si="0"/>
        <v>0</v>
      </c>
    </row>
    <row r="28" spans="1:14">
      <c r="A28" s="2" t="s">
        <v>42</v>
      </c>
      <c r="B28" t="s">
        <v>43</v>
      </c>
      <c r="C28">
        <v>41</v>
      </c>
      <c r="D28" t="s">
        <v>16</v>
      </c>
      <c r="J28" t="s">
        <v>16</v>
      </c>
      <c r="N28" t="b">
        <f t="shared" si="0"/>
        <v>0</v>
      </c>
    </row>
    <row r="29" spans="1:14">
      <c r="A29" t="s">
        <v>42</v>
      </c>
      <c r="B29" t="s">
        <v>44</v>
      </c>
      <c r="C29">
        <v>52</v>
      </c>
      <c r="D29" t="s">
        <v>16</v>
      </c>
      <c r="F29">
        <v>14</v>
      </c>
      <c r="G29" t="s">
        <v>16</v>
      </c>
      <c r="I29" t="s">
        <v>16</v>
      </c>
      <c r="N29" t="b">
        <f t="shared" si="0"/>
        <v>0</v>
      </c>
    </row>
    <row r="30" spans="1:14">
      <c r="A30" s="2" t="s">
        <v>42</v>
      </c>
      <c r="B30" t="s">
        <v>45</v>
      </c>
      <c r="F30">
        <v>48</v>
      </c>
      <c r="G30" t="s">
        <v>16</v>
      </c>
      <c r="I30" t="s">
        <v>16</v>
      </c>
      <c r="N30" t="b">
        <f t="shared" si="0"/>
        <v>0</v>
      </c>
    </row>
    <row r="31" spans="1:14">
      <c r="A31" t="s">
        <v>42</v>
      </c>
      <c r="B31" s="3" t="s">
        <v>46</v>
      </c>
      <c r="C31" s="3">
        <v>1</v>
      </c>
      <c r="D31" s="3" t="s">
        <v>16</v>
      </c>
      <c r="E31" s="3"/>
      <c r="F31" s="3">
        <v>48</v>
      </c>
      <c r="G31" s="3" t="s">
        <v>16</v>
      </c>
      <c r="L31" t="s">
        <v>16</v>
      </c>
      <c r="N31" t="b">
        <f t="shared" si="0"/>
        <v>0</v>
      </c>
    </row>
    <row r="32" spans="1:14">
      <c r="A32" t="s">
        <v>42</v>
      </c>
      <c r="B32" s="3" t="s">
        <v>47</v>
      </c>
      <c r="C32" s="3">
        <v>2</v>
      </c>
      <c r="D32" s="3" t="s">
        <v>16</v>
      </c>
      <c r="E32" s="3"/>
      <c r="F32" s="3">
        <v>48</v>
      </c>
      <c r="G32" s="3" t="s">
        <v>16</v>
      </c>
      <c r="L32" t="s">
        <v>16</v>
      </c>
      <c r="N32" t="b">
        <f t="shared" si="0"/>
        <v>0</v>
      </c>
    </row>
    <row r="33" spans="1:14">
      <c r="A33" t="s">
        <v>42</v>
      </c>
      <c r="B33" t="s">
        <v>48</v>
      </c>
      <c r="C33">
        <v>3</v>
      </c>
      <c r="D33" t="s">
        <v>16</v>
      </c>
      <c r="F33">
        <v>8</v>
      </c>
      <c r="G33" t="s">
        <v>16</v>
      </c>
      <c r="L33" t="s">
        <v>16</v>
      </c>
      <c r="N33" t="b">
        <f t="shared" si="0"/>
        <v>0</v>
      </c>
    </row>
    <row r="34" spans="1:14">
      <c r="A34" t="s">
        <v>42</v>
      </c>
      <c r="B34" t="s">
        <v>49</v>
      </c>
      <c r="C34">
        <v>4</v>
      </c>
      <c r="D34" t="s">
        <v>16</v>
      </c>
      <c r="F34">
        <v>49</v>
      </c>
      <c r="G34" t="s">
        <v>16</v>
      </c>
      <c r="I34" t="s">
        <v>16</v>
      </c>
      <c r="L34" t="s">
        <v>16</v>
      </c>
      <c r="N34" t="b">
        <f t="shared" si="0"/>
        <v>1</v>
      </c>
    </row>
    <row r="35" spans="1:14">
      <c r="A35" s="2" t="s">
        <v>42</v>
      </c>
      <c r="B35" t="s">
        <v>50</v>
      </c>
      <c r="I35" t="s">
        <v>16</v>
      </c>
      <c r="N35" t="b">
        <f t="shared" si="0"/>
        <v>0</v>
      </c>
    </row>
    <row r="36" spans="1:14">
      <c r="A36" s="2" t="s">
        <v>42</v>
      </c>
      <c r="B36" t="s">
        <v>51</v>
      </c>
      <c r="I36" t="s">
        <v>16</v>
      </c>
      <c r="N36" t="b">
        <f t="shared" si="0"/>
        <v>0</v>
      </c>
    </row>
    <row r="37" spans="1:14">
      <c r="A37" s="2" t="s">
        <v>42</v>
      </c>
      <c r="B37" t="s">
        <v>52</v>
      </c>
      <c r="J37" t="s">
        <v>16</v>
      </c>
      <c r="N37" t="b">
        <f>COUNTIF(I37:M37,"&lt;&gt;")&gt;1</f>
        <v>0</v>
      </c>
    </row>
  </sheetData>
  <phoneticPr fontId="1"/>
  <conditionalFormatting sqref="A14:M15 A17:M37 A2:B13 E2:M13">
    <cfRule type="expression" dxfId="12" priority="3">
      <formula>$N2=1</formula>
    </cfRule>
  </conditionalFormatting>
  <conditionalFormatting sqref="A16:C16 E16:L16">
    <cfRule type="expression" dxfId="11" priority="5">
      <formula>$M16=1</formula>
    </cfRule>
  </conditionalFormatting>
  <conditionalFormatting sqref="D16">
    <cfRule type="expression" dxfId="10" priority="2">
      <formula>$N16=1</formula>
    </cfRule>
  </conditionalFormatting>
  <conditionalFormatting sqref="C2:D13">
    <cfRule type="expression" dxfId="9" priority="1">
      <formula>$N2=1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0"/>
  <sheetViews>
    <sheetView topLeftCell="B1" workbookViewId="0">
      <selection activeCell="B28" sqref="B28"/>
    </sheetView>
  </sheetViews>
  <sheetFormatPr defaultRowHeight="14.4"/>
  <cols>
    <col min="1" max="1" width="24" customWidth="1"/>
    <col min="2" max="2" width="78.21875" customWidth="1"/>
    <col min="3" max="3" width="13.5546875" customWidth="1"/>
    <col min="4" max="4" width="11" customWidth="1"/>
    <col min="5" max="5" width="14.109375" customWidth="1"/>
    <col min="6" max="6" width="16.88671875" hidden="1" customWidth="1"/>
    <col min="7" max="8" width="13" hidden="1" customWidth="1"/>
    <col min="9" max="9" width="9.21875" hidden="1" customWidth="1"/>
    <col min="10" max="13" width="4.109375" bestFit="1" customWidth="1"/>
    <col min="14" max="14" width="21.33203125" bestFit="1" customWidth="1"/>
  </cols>
  <sheetData>
    <row r="1" spans="1:14">
      <c r="A1" t="s">
        <v>9</v>
      </c>
      <c r="B1" t="s">
        <v>142</v>
      </c>
      <c r="C1" t="s">
        <v>164</v>
      </c>
      <c r="D1" t="s">
        <v>186</v>
      </c>
      <c r="E1" t="s">
        <v>143</v>
      </c>
      <c r="F1" t="s">
        <v>164</v>
      </c>
      <c r="G1" t="s">
        <v>163</v>
      </c>
      <c r="H1" t="s">
        <v>143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143</v>
      </c>
    </row>
    <row r="2" spans="1:14">
      <c r="A2" s="3" t="s">
        <v>144</v>
      </c>
      <c r="B2" t="s">
        <v>88</v>
      </c>
      <c r="C2" t="s">
        <v>211</v>
      </c>
      <c r="D2" t="s">
        <v>16</v>
      </c>
      <c r="F2" s="10" t="s">
        <v>171</v>
      </c>
      <c r="G2" t="s">
        <v>16</v>
      </c>
      <c r="I2" t="s">
        <v>0</v>
      </c>
      <c r="J2" t="s">
        <v>0</v>
      </c>
      <c r="K2" t="s">
        <v>0</v>
      </c>
      <c r="L2" t="s">
        <v>0</v>
      </c>
      <c r="M2" t="s">
        <v>0</v>
      </c>
      <c r="N2" t="b">
        <f>COUNTIF(I2:M2,"&lt;&gt;")&gt;1</f>
        <v>1</v>
      </c>
    </row>
    <row r="3" spans="1:14">
      <c r="A3" s="3" t="s">
        <v>144</v>
      </c>
      <c r="B3" t="s">
        <v>89</v>
      </c>
      <c r="C3" t="s">
        <v>212</v>
      </c>
      <c r="D3" t="s">
        <v>16</v>
      </c>
      <c r="F3" t="s">
        <v>172</v>
      </c>
      <c r="G3" t="s">
        <v>16</v>
      </c>
      <c r="I3" t="s">
        <v>0</v>
      </c>
      <c r="J3" t="s">
        <v>0</v>
      </c>
      <c r="K3" t="s">
        <v>0</v>
      </c>
      <c r="L3" t="s">
        <v>0</v>
      </c>
      <c r="M3" t="s">
        <v>0</v>
      </c>
      <c r="N3" t="b">
        <f t="shared" ref="N3:N30" si="0">COUNTIF(I3:M3,"&lt;&gt;")&gt;1</f>
        <v>1</v>
      </c>
    </row>
    <row r="4" spans="1:14">
      <c r="A4" s="3" t="s">
        <v>53</v>
      </c>
      <c r="B4" t="s">
        <v>54</v>
      </c>
      <c r="C4" t="s">
        <v>211</v>
      </c>
      <c r="D4" t="s">
        <v>16</v>
      </c>
      <c r="F4" t="s">
        <v>171</v>
      </c>
      <c r="G4" t="s">
        <v>16</v>
      </c>
      <c r="I4" t="s">
        <v>0</v>
      </c>
      <c r="K4" t="s">
        <v>0</v>
      </c>
      <c r="L4" t="s">
        <v>0</v>
      </c>
      <c r="M4" t="s">
        <v>0</v>
      </c>
      <c r="N4" t="b">
        <f t="shared" si="0"/>
        <v>1</v>
      </c>
    </row>
    <row r="5" spans="1:14">
      <c r="A5" s="3" t="s">
        <v>53</v>
      </c>
      <c r="B5" t="s">
        <v>55</v>
      </c>
      <c r="C5" t="s">
        <v>211</v>
      </c>
      <c r="D5" t="s">
        <v>16</v>
      </c>
      <c r="F5" t="s">
        <v>171</v>
      </c>
      <c r="G5" t="s">
        <v>16</v>
      </c>
      <c r="I5" t="s">
        <v>0</v>
      </c>
      <c r="J5" t="s">
        <v>0</v>
      </c>
      <c r="K5" t="s">
        <v>0</v>
      </c>
      <c r="M5" t="s">
        <v>0</v>
      </c>
      <c r="N5" t="b">
        <f t="shared" si="0"/>
        <v>1</v>
      </c>
    </row>
    <row r="6" spans="1:14">
      <c r="A6" s="3" t="s">
        <v>53</v>
      </c>
      <c r="B6" t="s">
        <v>56</v>
      </c>
      <c r="C6" t="s">
        <v>212</v>
      </c>
      <c r="D6" t="s">
        <v>16</v>
      </c>
      <c r="F6" t="s">
        <v>172</v>
      </c>
      <c r="G6" t="s">
        <v>16</v>
      </c>
      <c r="I6" t="s">
        <v>0</v>
      </c>
      <c r="J6" t="s">
        <v>0</v>
      </c>
      <c r="K6" t="s">
        <v>0</v>
      </c>
      <c r="L6" t="s">
        <v>0</v>
      </c>
      <c r="M6" t="s">
        <v>0</v>
      </c>
      <c r="N6" t="b">
        <f t="shared" si="0"/>
        <v>1</v>
      </c>
    </row>
    <row r="7" spans="1:14">
      <c r="A7" s="3" t="s">
        <v>53</v>
      </c>
      <c r="B7" t="s">
        <v>57</v>
      </c>
      <c r="C7" t="s">
        <v>212</v>
      </c>
      <c r="D7" t="s">
        <v>16</v>
      </c>
      <c r="F7" t="s">
        <v>172</v>
      </c>
      <c r="G7" t="s">
        <v>16</v>
      </c>
      <c r="I7" t="s">
        <v>0</v>
      </c>
      <c r="J7" t="s">
        <v>0</v>
      </c>
      <c r="K7" t="s">
        <v>0</v>
      </c>
      <c r="M7" t="s">
        <v>0</v>
      </c>
      <c r="N7" t="b">
        <f t="shared" si="0"/>
        <v>1</v>
      </c>
    </row>
    <row r="8" spans="1:14">
      <c r="A8" s="3" t="s">
        <v>58</v>
      </c>
      <c r="B8" t="s">
        <v>59</v>
      </c>
      <c r="C8" t="s">
        <v>213</v>
      </c>
      <c r="D8" t="s">
        <v>16</v>
      </c>
      <c r="F8" t="s">
        <v>173</v>
      </c>
      <c r="G8" t="s">
        <v>16</v>
      </c>
      <c r="I8" t="s">
        <v>0</v>
      </c>
      <c r="J8" t="s">
        <v>0</v>
      </c>
      <c r="K8" t="s">
        <v>0</v>
      </c>
      <c r="L8" t="s">
        <v>0</v>
      </c>
      <c r="M8" t="s">
        <v>0</v>
      </c>
      <c r="N8" t="b">
        <f t="shared" si="0"/>
        <v>1</v>
      </c>
    </row>
    <row r="9" spans="1:14">
      <c r="A9" s="3" t="s">
        <v>58</v>
      </c>
      <c r="B9" t="s">
        <v>60</v>
      </c>
      <c r="C9" t="s">
        <v>214</v>
      </c>
      <c r="D9" t="s">
        <v>16</v>
      </c>
      <c r="F9" t="s">
        <v>174</v>
      </c>
      <c r="G9" t="s">
        <v>16</v>
      </c>
      <c r="I9" t="s">
        <v>0</v>
      </c>
      <c r="K9" t="s">
        <v>0</v>
      </c>
      <c r="L9" t="s">
        <v>0</v>
      </c>
      <c r="M9" t="s">
        <v>0</v>
      </c>
      <c r="N9" t="b">
        <f t="shared" si="0"/>
        <v>1</v>
      </c>
    </row>
    <row r="10" spans="1:14">
      <c r="A10" s="3" t="s">
        <v>58</v>
      </c>
      <c r="B10" t="s">
        <v>61</v>
      </c>
      <c r="C10">
        <v>48</v>
      </c>
      <c r="D10" t="s">
        <v>16</v>
      </c>
      <c r="F10">
        <v>48</v>
      </c>
      <c r="G10" t="s">
        <v>16</v>
      </c>
      <c r="I10" t="s">
        <v>0</v>
      </c>
      <c r="K10" t="s">
        <v>0</v>
      </c>
      <c r="M10" t="s">
        <v>0</v>
      </c>
      <c r="N10" t="b">
        <f t="shared" si="0"/>
        <v>1</v>
      </c>
    </row>
    <row r="11" spans="1:14">
      <c r="A11" s="2" t="s">
        <v>62</v>
      </c>
      <c r="B11" t="s">
        <v>63</v>
      </c>
      <c r="C11" s="4" t="s">
        <v>197</v>
      </c>
      <c r="D11" t="s">
        <v>16</v>
      </c>
      <c r="F11">
        <v>1</v>
      </c>
      <c r="G11" t="s">
        <v>16</v>
      </c>
      <c r="I11" t="s">
        <v>0</v>
      </c>
      <c r="J11" t="s">
        <v>0</v>
      </c>
      <c r="K11" t="s">
        <v>0</v>
      </c>
      <c r="L11" t="s">
        <v>0</v>
      </c>
      <c r="M11" t="s">
        <v>0</v>
      </c>
      <c r="N11" t="b">
        <f t="shared" si="0"/>
        <v>1</v>
      </c>
    </row>
    <row r="12" spans="1:14">
      <c r="A12" s="2" t="s">
        <v>62</v>
      </c>
      <c r="B12" t="s">
        <v>64</v>
      </c>
      <c r="C12" s="4" t="s">
        <v>198</v>
      </c>
      <c r="D12" t="s">
        <v>16</v>
      </c>
      <c r="F12">
        <v>5</v>
      </c>
      <c r="G12" t="s">
        <v>16</v>
      </c>
      <c r="I12" t="s">
        <v>0</v>
      </c>
      <c r="J12" t="s">
        <v>0</v>
      </c>
      <c r="K12" t="s">
        <v>0</v>
      </c>
      <c r="L12" t="s">
        <v>0</v>
      </c>
      <c r="M12" t="s">
        <v>0</v>
      </c>
      <c r="N12" t="b">
        <f t="shared" si="0"/>
        <v>1</v>
      </c>
    </row>
    <row r="13" spans="1:14">
      <c r="A13" s="2" t="s">
        <v>65</v>
      </c>
      <c r="B13" t="s">
        <v>66</v>
      </c>
      <c r="C13" s="4" t="s">
        <v>199</v>
      </c>
      <c r="D13" t="s">
        <v>16</v>
      </c>
      <c r="F13" s="4" t="s">
        <v>169</v>
      </c>
      <c r="G13" t="s">
        <v>16</v>
      </c>
      <c r="I13" t="s">
        <v>0</v>
      </c>
      <c r="J13" t="s">
        <v>0</v>
      </c>
      <c r="K13" t="s">
        <v>0</v>
      </c>
      <c r="L13" t="s">
        <v>0</v>
      </c>
      <c r="M13" t="s">
        <v>0</v>
      </c>
      <c r="N13" t="b">
        <f t="shared" si="0"/>
        <v>1</v>
      </c>
    </row>
    <row r="14" spans="1:14">
      <c r="A14" s="2" t="s">
        <v>65</v>
      </c>
      <c r="B14" t="s">
        <v>67</v>
      </c>
      <c r="C14">
        <v>37</v>
      </c>
      <c r="D14" t="s">
        <v>16</v>
      </c>
      <c r="F14" s="4" t="s">
        <v>170</v>
      </c>
      <c r="G14" t="s">
        <v>16</v>
      </c>
      <c r="J14" t="s">
        <v>0</v>
      </c>
      <c r="K14" t="s">
        <v>0</v>
      </c>
      <c r="L14" t="s">
        <v>0</v>
      </c>
      <c r="M14" t="s">
        <v>0</v>
      </c>
      <c r="N14" t="b">
        <f t="shared" si="0"/>
        <v>1</v>
      </c>
    </row>
    <row r="15" spans="1:14">
      <c r="A15" s="2" t="s">
        <v>65</v>
      </c>
      <c r="B15" t="s">
        <v>68</v>
      </c>
      <c r="C15">
        <v>50</v>
      </c>
      <c r="D15" t="s">
        <v>16</v>
      </c>
      <c r="F15">
        <v>50</v>
      </c>
      <c r="G15" t="s">
        <v>16</v>
      </c>
      <c r="I15" t="s">
        <v>0</v>
      </c>
      <c r="J15" t="s">
        <v>0</v>
      </c>
      <c r="L15" t="s">
        <v>0</v>
      </c>
      <c r="M15" t="s">
        <v>0</v>
      </c>
      <c r="N15" t="b">
        <f t="shared" si="0"/>
        <v>1</v>
      </c>
    </row>
    <row r="16" spans="1:14">
      <c r="A16" s="2" t="s">
        <v>69</v>
      </c>
      <c r="B16" t="s">
        <v>70</v>
      </c>
      <c r="C16">
        <v>31</v>
      </c>
      <c r="D16" t="s">
        <v>16</v>
      </c>
      <c r="F16">
        <v>31</v>
      </c>
      <c r="G16" t="s">
        <v>16</v>
      </c>
      <c r="I16" t="s">
        <v>0</v>
      </c>
      <c r="J16" t="s">
        <v>0</v>
      </c>
      <c r="K16" t="s">
        <v>0</v>
      </c>
      <c r="L16" t="s">
        <v>0</v>
      </c>
      <c r="N16" t="b">
        <f t="shared" si="0"/>
        <v>1</v>
      </c>
    </row>
    <row r="17" spans="1:14">
      <c r="A17" s="2" t="s">
        <v>69</v>
      </c>
      <c r="B17" t="s">
        <v>71</v>
      </c>
      <c r="C17">
        <v>28</v>
      </c>
      <c r="D17" t="s">
        <v>16</v>
      </c>
      <c r="F17">
        <v>30</v>
      </c>
      <c r="G17" t="s">
        <v>16</v>
      </c>
      <c r="J17" t="s">
        <v>0</v>
      </c>
      <c r="L17" t="s">
        <v>0</v>
      </c>
      <c r="M17" t="s">
        <v>0</v>
      </c>
      <c r="N17" t="b">
        <f t="shared" si="0"/>
        <v>1</v>
      </c>
    </row>
    <row r="18" spans="1:14">
      <c r="A18" s="2" t="s">
        <v>72</v>
      </c>
      <c r="B18" t="s">
        <v>73</v>
      </c>
      <c r="C18">
        <v>14</v>
      </c>
      <c r="D18" t="s">
        <v>16</v>
      </c>
      <c r="F18">
        <v>14</v>
      </c>
      <c r="G18" t="s">
        <v>16</v>
      </c>
      <c r="L18" t="s">
        <v>0</v>
      </c>
      <c r="N18" t="b">
        <f t="shared" si="0"/>
        <v>0</v>
      </c>
    </row>
    <row r="19" spans="1:14">
      <c r="A19" s="2" t="s">
        <v>72</v>
      </c>
      <c r="B19" t="s">
        <v>74</v>
      </c>
      <c r="C19">
        <v>16</v>
      </c>
      <c r="D19" t="s">
        <v>16</v>
      </c>
      <c r="F19">
        <v>16</v>
      </c>
      <c r="G19" t="s">
        <v>16</v>
      </c>
      <c r="I19" t="s">
        <v>0</v>
      </c>
      <c r="N19" t="b">
        <f t="shared" si="0"/>
        <v>0</v>
      </c>
    </row>
    <row r="20" spans="1:14">
      <c r="A20" s="2" t="s">
        <v>75</v>
      </c>
      <c r="B20" t="s">
        <v>76</v>
      </c>
      <c r="C20">
        <v>29</v>
      </c>
      <c r="D20" t="s">
        <v>16</v>
      </c>
      <c r="F20">
        <v>29</v>
      </c>
      <c r="G20" t="s">
        <v>16</v>
      </c>
      <c r="I20" t="s">
        <v>0</v>
      </c>
      <c r="M20" t="s">
        <v>0</v>
      </c>
      <c r="N20" t="b">
        <f t="shared" si="0"/>
        <v>1</v>
      </c>
    </row>
    <row r="21" spans="1:14">
      <c r="A21" s="5" t="s">
        <v>75</v>
      </c>
      <c r="B21" t="s">
        <v>77</v>
      </c>
      <c r="C21">
        <v>32</v>
      </c>
      <c r="D21" t="s">
        <v>16</v>
      </c>
      <c r="F21">
        <v>32</v>
      </c>
      <c r="G21" t="s">
        <v>16</v>
      </c>
      <c r="I21" t="s">
        <v>0</v>
      </c>
      <c r="J21" t="s">
        <v>0</v>
      </c>
      <c r="K21" t="s">
        <v>0</v>
      </c>
      <c r="L21" t="s">
        <v>0</v>
      </c>
      <c r="N21" t="b">
        <f t="shared" si="0"/>
        <v>1</v>
      </c>
    </row>
    <row r="22" spans="1:14">
      <c r="A22" s="5" t="s">
        <v>75</v>
      </c>
      <c r="B22" t="s">
        <v>78</v>
      </c>
      <c r="J22" t="s">
        <v>0</v>
      </c>
      <c r="M22" t="s">
        <v>0</v>
      </c>
      <c r="N22" t="b">
        <f t="shared" si="0"/>
        <v>1</v>
      </c>
    </row>
    <row r="23" spans="1:14">
      <c r="A23" s="5" t="s">
        <v>79</v>
      </c>
      <c r="B23" t="s">
        <v>80</v>
      </c>
      <c r="C23">
        <v>49</v>
      </c>
      <c r="D23" t="s">
        <v>16</v>
      </c>
      <c r="F23">
        <v>49</v>
      </c>
      <c r="G23" t="s">
        <v>16</v>
      </c>
      <c r="I23" t="s">
        <v>0</v>
      </c>
      <c r="K23" t="s">
        <v>0</v>
      </c>
      <c r="L23" t="s">
        <v>0</v>
      </c>
      <c r="N23" t="b">
        <f t="shared" si="0"/>
        <v>1</v>
      </c>
    </row>
    <row r="24" spans="1:14">
      <c r="A24" s="5" t="s">
        <v>79</v>
      </c>
      <c r="B24" t="s">
        <v>81</v>
      </c>
      <c r="C24">
        <v>53</v>
      </c>
      <c r="D24" t="s">
        <v>16</v>
      </c>
      <c r="I24" t="s">
        <v>0</v>
      </c>
      <c r="K24" t="s">
        <v>0</v>
      </c>
      <c r="L24" t="s">
        <v>0</v>
      </c>
      <c r="N24" t="b">
        <f t="shared" si="0"/>
        <v>1</v>
      </c>
    </row>
    <row r="25" spans="1:14">
      <c r="A25" s="5" t="s">
        <v>79</v>
      </c>
      <c r="B25" t="s">
        <v>82</v>
      </c>
      <c r="C25">
        <v>52</v>
      </c>
      <c r="D25" t="s">
        <v>16</v>
      </c>
      <c r="I25" t="s">
        <v>0</v>
      </c>
      <c r="K25" t="s">
        <v>0</v>
      </c>
      <c r="L25" t="s">
        <v>0</v>
      </c>
      <c r="N25" t="b">
        <f t="shared" si="0"/>
        <v>1</v>
      </c>
    </row>
    <row r="26" spans="1:14">
      <c r="A26" s="5" t="s">
        <v>79</v>
      </c>
      <c r="B26" t="s">
        <v>90</v>
      </c>
      <c r="M26" t="s">
        <v>0</v>
      </c>
      <c r="N26" t="b">
        <f t="shared" si="0"/>
        <v>0</v>
      </c>
    </row>
    <row r="27" spans="1:14">
      <c r="A27" s="5" t="s">
        <v>83</v>
      </c>
      <c r="B27" t="s">
        <v>84</v>
      </c>
      <c r="C27">
        <v>26</v>
      </c>
      <c r="D27" t="s">
        <v>16</v>
      </c>
      <c r="F27">
        <v>26</v>
      </c>
      <c r="G27" t="s">
        <v>16</v>
      </c>
      <c r="M27" t="s">
        <v>0</v>
      </c>
      <c r="N27" t="b">
        <f t="shared" si="0"/>
        <v>0</v>
      </c>
    </row>
    <row r="28" spans="1:14">
      <c r="A28" s="5" t="s">
        <v>83</v>
      </c>
      <c r="B28" t="s">
        <v>85</v>
      </c>
      <c r="C28" t="s">
        <v>182</v>
      </c>
      <c r="F28" t="s">
        <v>165</v>
      </c>
      <c r="G28" t="s">
        <v>16</v>
      </c>
      <c r="L28" t="s">
        <v>0</v>
      </c>
      <c r="M28" t="s">
        <v>0</v>
      </c>
      <c r="N28" t="b">
        <f t="shared" si="0"/>
        <v>1</v>
      </c>
    </row>
    <row r="29" spans="1:14">
      <c r="A29" s="5" t="s">
        <v>83</v>
      </c>
      <c r="B29" t="s">
        <v>86</v>
      </c>
      <c r="I29" t="s">
        <v>0</v>
      </c>
      <c r="N29" t="b">
        <f t="shared" si="0"/>
        <v>0</v>
      </c>
    </row>
    <row r="30" spans="1:14">
      <c r="A30" s="5" t="s">
        <v>83</v>
      </c>
      <c r="B30" t="s">
        <v>87</v>
      </c>
      <c r="I30" t="s">
        <v>0</v>
      </c>
      <c r="N30" t="b">
        <f t="shared" si="0"/>
        <v>0</v>
      </c>
    </row>
  </sheetData>
  <phoneticPr fontId="1"/>
  <conditionalFormatting sqref="G4:M8 A11:M30 A2:B10 E9:M10 E4:F4 E8:F8 E5:E7 E2:M3">
    <cfRule type="expression" dxfId="8" priority="4">
      <formula>$N2=1</formula>
    </cfRule>
  </conditionalFormatting>
  <conditionalFormatting sqref="F6">
    <cfRule type="expression" dxfId="7" priority="9">
      <formula>$N5=1</formula>
    </cfRule>
  </conditionalFormatting>
  <conditionalFormatting sqref="F5">
    <cfRule type="expression" dxfId="6" priority="3">
      <formula>$N5=1</formula>
    </cfRule>
  </conditionalFormatting>
  <conditionalFormatting sqref="F7">
    <cfRule type="expression" dxfId="5" priority="2">
      <formula>$N6=1</formula>
    </cfRule>
  </conditionalFormatting>
  <conditionalFormatting sqref="C2:D10">
    <cfRule type="expression" dxfId="4" priority="1">
      <formula>$N2=1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41"/>
  <sheetViews>
    <sheetView tabSelected="1" workbookViewId="0">
      <selection activeCell="B9" sqref="B9"/>
    </sheetView>
  </sheetViews>
  <sheetFormatPr defaultColWidth="34.44140625" defaultRowHeight="14.4"/>
  <cols>
    <col min="1" max="1" width="25.6640625" bestFit="1" customWidth="1"/>
    <col min="2" max="2" width="50.44140625" bestFit="1" customWidth="1"/>
    <col min="3" max="3" width="13.109375" customWidth="1"/>
    <col min="4" max="4" width="10.5546875" customWidth="1"/>
    <col min="5" max="5" width="18" bestFit="1" customWidth="1"/>
    <col min="6" max="6" width="21" hidden="1" customWidth="1"/>
    <col min="7" max="7" width="13.44140625" hidden="1" customWidth="1"/>
    <col min="8" max="8" width="8" bestFit="1" customWidth="1"/>
    <col min="9" max="12" width="4.109375" bestFit="1" customWidth="1"/>
    <col min="13" max="13" width="21.33203125" bestFit="1" customWidth="1"/>
  </cols>
  <sheetData>
    <row r="1" spans="1:13">
      <c r="A1" t="s">
        <v>9</v>
      </c>
      <c r="B1" t="s">
        <v>142</v>
      </c>
      <c r="C1" t="s">
        <v>164</v>
      </c>
      <c r="D1" t="s">
        <v>186</v>
      </c>
      <c r="E1" t="s">
        <v>143</v>
      </c>
      <c r="F1" t="s">
        <v>164</v>
      </c>
      <c r="G1" t="s">
        <v>163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  <c r="M1" t="s">
        <v>143</v>
      </c>
    </row>
    <row r="2" spans="1:13" ht="28.8">
      <c r="A2" s="3" t="s">
        <v>145</v>
      </c>
      <c r="B2" s="1" t="s">
        <v>91</v>
      </c>
      <c r="C2" s="1" t="s">
        <v>215</v>
      </c>
      <c r="D2" s="1" t="s">
        <v>16</v>
      </c>
      <c r="E2" s="1"/>
      <c r="F2" s="1" t="s">
        <v>175</v>
      </c>
      <c r="G2" s="1" t="s">
        <v>16</v>
      </c>
      <c r="H2" t="s">
        <v>0</v>
      </c>
      <c r="I2" t="s">
        <v>0</v>
      </c>
      <c r="J2" t="s">
        <v>0</v>
      </c>
      <c r="K2" t="s">
        <v>0</v>
      </c>
      <c r="L2" t="s">
        <v>0</v>
      </c>
      <c r="M2" t="b">
        <f t="shared" ref="M2:M41" si="0">COUNTIF(H2:L2,"&lt;&gt;")&gt;1</f>
        <v>1</v>
      </c>
    </row>
    <row r="3" spans="1:13" ht="28.8">
      <c r="A3" s="3" t="s">
        <v>146</v>
      </c>
      <c r="B3" s="1" t="s">
        <v>92</v>
      </c>
      <c r="C3" s="1" t="s">
        <v>216</v>
      </c>
      <c r="D3" s="1" t="s">
        <v>16</v>
      </c>
      <c r="E3" s="1"/>
      <c r="F3" s="1" t="s">
        <v>176</v>
      </c>
      <c r="G3" s="1" t="s">
        <v>16</v>
      </c>
      <c r="H3" t="s">
        <v>0</v>
      </c>
      <c r="I3" t="s">
        <v>0</v>
      </c>
      <c r="J3" t="s">
        <v>0</v>
      </c>
      <c r="K3" t="s">
        <v>0</v>
      </c>
      <c r="L3" t="s">
        <v>0</v>
      </c>
      <c r="M3" t="b">
        <f t="shared" si="0"/>
        <v>1</v>
      </c>
    </row>
    <row r="4" spans="1:13">
      <c r="A4" s="3" t="s">
        <v>147</v>
      </c>
      <c r="B4" s="1" t="s">
        <v>93</v>
      </c>
      <c r="C4" s="1">
        <v>13</v>
      </c>
      <c r="D4" s="1" t="s">
        <v>16</v>
      </c>
      <c r="E4" s="1"/>
      <c r="F4" s="1">
        <v>29</v>
      </c>
      <c r="G4" s="1" t="s">
        <v>16</v>
      </c>
      <c r="H4" t="s">
        <v>0</v>
      </c>
      <c r="I4" t="s">
        <v>0</v>
      </c>
      <c r="J4" t="s">
        <v>0</v>
      </c>
      <c r="K4" t="s">
        <v>0</v>
      </c>
      <c r="L4" t="s">
        <v>0</v>
      </c>
      <c r="M4" t="b">
        <f t="shared" si="0"/>
        <v>1</v>
      </c>
    </row>
    <row r="5" spans="1:13">
      <c r="A5" s="3" t="s">
        <v>148</v>
      </c>
      <c r="B5" s="1" t="s">
        <v>94</v>
      </c>
      <c r="C5" s="1">
        <v>14</v>
      </c>
      <c r="D5" s="1" t="s">
        <v>16</v>
      </c>
      <c r="E5" s="1"/>
      <c r="F5" s="1">
        <v>30</v>
      </c>
      <c r="G5" s="1" t="s">
        <v>16</v>
      </c>
      <c r="H5" t="s">
        <v>0</v>
      </c>
      <c r="I5" t="s">
        <v>0</v>
      </c>
      <c r="J5" t="s">
        <v>0</v>
      </c>
      <c r="K5" t="s">
        <v>0</v>
      </c>
      <c r="L5" t="s">
        <v>0</v>
      </c>
      <c r="M5" t="b">
        <f t="shared" si="0"/>
        <v>1</v>
      </c>
    </row>
    <row r="6" spans="1:13">
      <c r="A6" s="3" t="s">
        <v>149</v>
      </c>
      <c r="B6" s="1" t="s">
        <v>95</v>
      </c>
      <c r="C6" s="1" t="s">
        <v>217</v>
      </c>
      <c r="D6" s="1" t="s">
        <v>16</v>
      </c>
      <c r="E6" s="1"/>
      <c r="F6" s="1" t="s">
        <v>177</v>
      </c>
      <c r="G6" s="1" t="s">
        <v>16</v>
      </c>
      <c r="H6" t="s">
        <v>0</v>
      </c>
      <c r="I6" t="s">
        <v>0</v>
      </c>
      <c r="J6" t="s">
        <v>0</v>
      </c>
      <c r="K6" t="s">
        <v>0</v>
      </c>
      <c r="L6" t="s">
        <v>0</v>
      </c>
      <c r="M6" t="b">
        <f t="shared" si="0"/>
        <v>1</v>
      </c>
    </row>
    <row r="7" spans="1:13">
      <c r="A7" s="3" t="s">
        <v>150</v>
      </c>
      <c r="B7" s="1" t="s">
        <v>96</v>
      </c>
      <c r="C7" s="1" t="s">
        <v>218</v>
      </c>
      <c r="D7" s="1" t="s">
        <v>16</v>
      </c>
      <c r="E7" s="1"/>
      <c r="F7" s="1" t="s">
        <v>178</v>
      </c>
      <c r="G7" s="1" t="s">
        <v>16</v>
      </c>
      <c r="H7" t="s">
        <v>0</v>
      </c>
      <c r="I7" t="s">
        <v>0</v>
      </c>
      <c r="J7" t="s">
        <v>0</v>
      </c>
      <c r="K7" t="s">
        <v>0</v>
      </c>
      <c r="L7" t="s">
        <v>0</v>
      </c>
      <c r="M7" t="b">
        <f t="shared" si="0"/>
        <v>1</v>
      </c>
    </row>
    <row r="8" spans="1:13" ht="28.8">
      <c r="A8" s="3" t="s">
        <v>151</v>
      </c>
      <c r="B8" s="1" t="s">
        <v>97</v>
      </c>
      <c r="C8" s="1" t="s">
        <v>219</v>
      </c>
      <c r="D8" s="1" t="s">
        <v>16</v>
      </c>
      <c r="E8" s="1"/>
      <c r="F8" s="1" t="s">
        <v>179</v>
      </c>
      <c r="G8" s="1" t="s">
        <v>16</v>
      </c>
      <c r="I8" t="s">
        <v>0</v>
      </c>
      <c r="K8" t="s">
        <v>0</v>
      </c>
      <c r="L8" t="s">
        <v>0</v>
      </c>
      <c r="M8" t="b">
        <f t="shared" si="0"/>
        <v>1</v>
      </c>
    </row>
    <row r="9" spans="1:13">
      <c r="A9" s="3" t="s">
        <v>98</v>
      </c>
      <c r="B9" s="1" t="s">
        <v>139</v>
      </c>
      <c r="C9" s="1" t="s">
        <v>220</v>
      </c>
      <c r="D9" s="1" t="s">
        <v>16</v>
      </c>
      <c r="E9" s="1"/>
      <c r="F9" s="1" t="s">
        <v>180</v>
      </c>
      <c r="G9" s="1" t="s">
        <v>16</v>
      </c>
      <c r="H9" t="s">
        <v>0</v>
      </c>
      <c r="I9" t="s">
        <v>0</v>
      </c>
      <c r="J9" t="s">
        <v>0</v>
      </c>
      <c r="K9" t="s">
        <v>0</v>
      </c>
      <c r="L9" t="s">
        <v>0</v>
      </c>
      <c r="M9" t="b">
        <f t="shared" si="0"/>
        <v>1</v>
      </c>
    </row>
    <row r="10" spans="1:13">
      <c r="A10" s="3" t="s">
        <v>98</v>
      </c>
      <c r="B10" s="1" t="s">
        <v>99</v>
      </c>
      <c r="C10" s="1" t="s">
        <v>221</v>
      </c>
      <c r="D10" s="1" t="s">
        <v>16</v>
      </c>
      <c r="E10" s="1"/>
      <c r="F10" s="1" t="s">
        <v>181</v>
      </c>
      <c r="G10" s="1" t="s">
        <v>16</v>
      </c>
      <c r="J10" t="s">
        <v>0</v>
      </c>
      <c r="K10" t="s">
        <v>0</v>
      </c>
      <c r="L10" t="s">
        <v>0</v>
      </c>
      <c r="M10" t="b">
        <f t="shared" si="0"/>
        <v>1</v>
      </c>
    </row>
    <row r="11" spans="1:13">
      <c r="A11" s="3" t="s">
        <v>98</v>
      </c>
      <c r="B11" s="1" t="s">
        <v>100</v>
      </c>
      <c r="C11" s="1" t="s">
        <v>222</v>
      </c>
      <c r="D11" s="1" t="s">
        <v>16</v>
      </c>
      <c r="E11" s="1"/>
      <c r="F11" s="1">
        <v>33</v>
      </c>
      <c r="G11" s="1" t="s">
        <v>16</v>
      </c>
      <c r="H11" t="s">
        <v>0</v>
      </c>
      <c r="I11" t="s">
        <v>0</v>
      </c>
      <c r="J11" t="s">
        <v>0</v>
      </c>
      <c r="K11" t="s">
        <v>0</v>
      </c>
      <c r="L11" t="s">
        <v>0</v>
      </c>
      <c r="M11" t="b">
        <f t="shared" si="0"/>
        <v>1</v>
      </c>
    </row>
    <row r="12" spans="1:13">
      <c r="A12" s="3" t="s">
        <v>98</v>
      </c>
      <c r="B12" s="1" t="s">
        <v>101</v>
      </c>
      <c r="C12" s="1" t="s">
        <v>223</v>
      </c>
      <c r="D12" s="1" t="s">
        <v>16</v>
      </c>
      <c r="E12" s="1"/>
      <c r="F12" s="1" t="s">
        <v>182</v>
      </c>
      <c r="G12" s="1" t="s">
        <v>16</v>
      </c>
      <c r="H12" t="s">
        <v>0</v>
      </c>
      <c r="I12" t="s">
        <v>0</v>
      </c>
      <c r="J12" t="s">
        <v>0</v>
      </c>
      <c r="K12" t="s">
        <v>0</v>
      </c>
      <c r="L12" t="s">
        <v>0</v>
      </c>
      <c r="M12" t="b">
        <f t="shared" si="0"/>
        <v>1</v>
      </c>
    </row>
    <row r="13" spans="1:13">
      <c r="A13" s="3" t="s">
        <v>98</v>
      </c>
      <c r="B13" s="1" t="s">
        <v>102</v>
      </c>
      <c r="C13" s="1" t="s">
        <v>224</v>
      </c>
      <c r="D13" s="1" t="s">
        <v>16</v>
      </c>
      <c r="E13" s="1"/>
      <c r="F13" s="1" t="s">
        <v>183</v>
      </c>
      <c r="G13" s="1" t="s">
        <v>16</v>
      </c>
      <c r="I13" t="s">
        <v>0</v>
      </c>
      <c r="J13" t="s">
        <v>0</v>
      </c>
      <c r="K13" t="s">
        <v>0</v>
      </c>
      <c r="L13" t="s">
        <v>0</v>
      </c>
      <c r="M13" t="b">
        <f t="shared" si="0"/>
        <v>1</v>
      </c>
    </row>
    <row r="14" spans="1:13">
      <c r="A14" s="3" t="s">
        <v>98</v>
      </c>
      <c r="B14" s="1" t="s">
        <v>103</v>
      </c>
      <c r="C14" s="1" t="s">
        <v>225</v>
      </c>
      <c r="D14" s="1" t="s">
        <v>16</v>
      </c>
      <c r="E14" s="1"/>
      <c r="F14" s="1" t="s">
        <v>184</v>
      </c>
      <c r="G14" s="1" t="s">
        <v>16</v>
      </c>
      <c r="I14" t="s">
        <v>0</v>
      </c>
      <c r="M14" t="b">
        <f t="shared" si="0"/>
        <v>0</v>
      </c>
    </row>
    <row r="15" spans="1:13">
      <c r="A15" s="6" t="s">
        <v>98</v>
      </c>
      <c r="B15" s="1" t="s">
        <v>104</v>
      </c>
      <c r="C15" s="1"/>
      <c r="E15" s="1"/>
      <c r="F15" s="1"/>
      <c r="G15" s="1"/>
      <c r="L15" t="s">
        <v>0</v>
      </c>
      <c r="M15" t="b">
        <f t="shared" si="0"/>
        <v>0</v>
      </c>
    </row>
    <row r="16" spans="1:13">
      <c r="A16" s="6" t="s">
        <v>98</v>
      </c>
      <c r="B16" s="11" t="s">
        <v>105</v>
      </c>
      <c r="C16" s="14" t="s">
        <v>195</v>
      </c>
      <c r="D16" t="s">
        <v>0</v>
      </c>
      <c r="E16" s="11"/>
      <c r="F16" s="1"/>
      <c r="H16" t="s">
        <v>0</v>
      </c>
      <c r="I16" t="s">
        <v>0</v>
      </c>
      <c r="J16" t="s">
        <v>0</v>
      </c>
      <c r="K16" t="s">
        <v>0</v>
      </c>
      <c r="L16" t="s">
        <v>0</v>
      </c>
      <c r="M16" t="b">
        <f t="shared" si="0"/>
        <v>1</v>
      </c>
    </row>
    <row r="17" spans="1:13">
      <c r="A17" s="6" t="s">
        <v>106</v>
      </c>
      <c r="B17" s="1" t="s">
        <v>107</v>
      </c>
      <c r="C17" s="9">
        <v>46</v>
      </c>
      <c r="D17" t="s">
        <v>0</v>
      </c>
      <c r="E17" s="1"/>
      <c r="F17" s="9">
        <v>34</v>
      </c>
      <c r="G17" t="s">
        <v>0</v>
      </c>
      <c r="H17" t="s">
        <v>0</v>
      </c>
      <c r="L17" t="s">
        <v>0</v>
      </c>
      <c r="M17" t="b">
        <f t="shared" si="0"/>
        <v>1</v>
      </c>
    </row>
    <row r="18" spans="1:13">
      <c r="A18" s="6" t="s">
        <v>106</v>
      </c>
      <c r="B18" s="1" t="s">
        <v>108</v>
      </c>
      <c r="C18" s="9">
        <v>50</v>
      </c>
      <c r="D18" t="s">
        <v>0</v>
      </c>
      <c r="E18" s="1"/>
      <c r="F18" s="1">
        <v>23</v>
      </c>
      <c r="G18" t="s">
        <v>0</v>
      </c>
      <c r="H18" t="s">
        <v>0</v>
      </c>
      <c r="I18" t="s">
        <v>0</v>
      </c>
      <c r="J18" t="s">
        <v>0</v>
      </c>
      <c r="K18" t="s">
        <v>0</v>
      </c>
      <c r="L18" t="s">
        <v>0</v>
      </c>
      <c r="M18" t="b">
        <f t="shared" si="0"/>
        <v>1</v>
      </c>
    </row>
    <row r="19" spans="1:13">
      <c r="A19" s="6" t="s">
        <v>106</v>
      </c>
      <c r="B19" s="1" t="s">
        <v>138</v>
      </c>
      <c r="C19" s="9">
        <v>39</v>
      </c>
      <c r="D19" t="s">
        <v>0</v>
      </c>
      <c r="E19" s="1"/>
      <c r="F19" s="1">
        <v>25</v>
      </c>
      <c r="G19" t="s">
        <v>0</v>
      </c>
      <c r="K19" t="s">
        <v>0</v>
      </c>
      <c r="M19" t="b">
        <f t="shared" si="0"/>
        <v>0</v>
      </c>
    </row>
    <row r="20" spans="1:13">
      <c r="A20" s="6" t="s">
        <v>106</v>
      </c>
      <c r="B20" s="1" t="s">
        <v>109</v>
      </c>
      <c r="C20" s="9"/>
      <c r="E20" s="1"/>
      <c r="F20" s="1"/>
      <c r="I20" t="s">
        <v>0</v>
      </c>
      <c r="M20" t="b">
        <f t="shared" si="0"/>
        <v>0</v>
      </c>
    </row>
    <row r="21" spans="1:13">
      <c r="A21" s="6" t="s">
        <v>106</v>
      </c>
      <c r="B21" s="1" t="s">
        <v>104</v>
      </c>
      <c r="C21" s="9"/>
      <c r="E21" s="1"/>
      <c r="F21" s="1"/>
      <c r="H21" t="s">
        <v>0</v>
      </c>
      <c r="M21" t="b">
        <f t="shared" si="0"/>
        <v>0</v>
      </c>
    </row>
    <row r="22" spans="1:13">
      <c r="A22" s="6" t="s">
        <v>106</v>
      </c>
      <c r="B22" s="1" t="s">
        <v>110</v>
      </c>
      <c r="C22" s="9" t="s">
        <v>196</v>
      </c>
      <c r="D22" t="s">
        <v>0</v>
      </c>
      <c r="E22" s="1"/>
      <c r="F22" s="1">
        <v>11</v>
      </c>
      <c r="G22" t="s">
        <v>0</v>
      </c>
      <c r="I22" t="s">
        <v>0</v>
      </c>
      <c r="L22" t="s">
        <v>0</v>
      </c>
      <c r="M22" t="b">
        <f t="shared" si="0"/>
        <v>1</v>
      </c>
    </row>
    <row r="23" spans="1:13">
      <c r="A23" s="6" t="s">
        <v>106</v>
      </c>
      <c r="B23" s="1" t="s">
        <v>111</v>
      </c>
      <c r="C23" s="9"/>
      <c r="E23" s="1"/>
      <c r="F23" s="8"/>
      <c r="L23" t="s">
        <v>0</v>
      </c>
      <c r="M23" t="b">
        <f t="shared" si="0"/>
        <v>0</v>
      </c>
    </row>
    <row r="24" spans="1:13">
      <c r="A24" s="6" t="s">
        <v>106</v>
      </c>
      <c r="B24" s="11" t="s">
        <v>112</v>
      </c>
      <c r="C24" s="14">
        <v>27</v>
      </c>
      <c r="D24" t="s">
        <v>0</v>
      </c>
      <c r="E24" s="11"/>
      <c r="F24" s="1">
        <v>22</v>
      </c>
      <c r="G24" t="s">
        <v>16</v>
      </c>
      <c r="H24" t="s">
        <v>0</v>
      </c>
      <c r="I24" t="s">
        <v>0</v>
      </c>
      <c r="J24" t="s">
        <v>0</v>
      </c>
      <c r="L24" t="s">
        <v>0</v>
      </c>
      <c r="M24" t="b">
        <f t="shared" si="0"/>
        <v>1</v>
      </c>
    </row>
    <row r="25" spans="1:13">
      <c r="A25" s="6" t="s">
        <v>113</v>
      </c>
      <c r="B25" s="1" t="s">
        <v>114</v>
      </c>
      <c r="C25" s="9">
        <v>53</v>
      </c>
      <c r="D25" t="s">
        <v>0</v>
      </c>
      <c r="E25" s="1"/>
      <c r="F25" s="1"/>
      <c r="H25" t="s">
        <v>0</v>
      </c>
      <c r="I25" t="s">
        <v>0</v>
      </c>
      <c r="J25" t="s">
        <v>0</v>
      </c>
      <c r="K25" t="s">
        <v>0</v>
      </c>
      <c r="L25" t="s">
        <v>0</v>
      </c>
      <c r="M25" t="b">
        <f t="shared" si="0"/>
        <v>1</v>
      </c>
    </row>
    <row r="26" spans="1:13">
      <c r="A26" s="6" t="s">
        <v>113</v>
      </c>
      <c r="B26" s="1" t="s">
        <v>115</v>
      </c>
      <c r="C26" s="9">
        <v>41</v>
      </c>
      <c r="D26" t="s">
        <v>0</v>
      </c>
      <c r="E26" s="1"/>
      <c r="F26" s="1">
        <v>31</v>
      </c>
      <c r="G26" t="s">
        <v>0</v>
      </c>
      <c r="H26" t="s">
        <v>0</v>
      </c>
      <c r="I26" t="s">
        <v>0</v>
      </c>
      <c r="J26" t="s">
        <v>0</v>
      </c>
      <c r="L26" t="s">
        <v>0</v>
      </c>
      <c r="M26" t="b">
        <f t="shared" si="0"/>
        <v>1</v>
      </c>
    </row>
    <row r="27" spans="1:13">
      <c r="A27" s="6" t="s">
        <v>113</v>
      </c>
      <c r="B27" s="1" t="s">
        <v>116</v>
      </c>
      <c r="C27" s="9">
        <v>10</v>
      </c>
      <c r="D27" t="s">
        <v>0</v>
      </c>
      <c r="E27" s="1"/>
      <c r="F27" s="1">
        <v>35</v>
      </c>
      <c r="G27" t="s">
        <v>0</v>
      </c>
      <c r="H27" t="s">
        <v>0</v>
      </c>
      <c r="I27" t="s">
        <v>0</v>
      </c>
      <c r="J27" t="s">
        <v>0</v>
      </c>
      <c r="K27" t="s">
        <v>0</v>
      </c>
      <c r="L27" t="s">
        <v>0</v>
      </c>
      <c r="M27" t="b">
        <f t="shared" si="0"/>
        <v>1</v>
      </c>
    </row>
    <row r="28" spans="1:13">
      <c r="A28" s="6" t="s">
        <v>113</v>
      </c>
      <c r="B28" s="1" t="s">
        <v>117</v>
      </c>
      <c r="C28" s="9">
        <v>52</v>
      </c>
      <c r="D28" t="s">
        <v>0</v>
      </c>
      <c r="E28" s="1"/>
      <c r="F28" s="1">
        <v>37</v>
      </c>
      <c r="G28" t="s">
        <v>0</v>
      </c>
      <c r="H28" t="s">
        <v>0</v>
      </c>
      <c r="I28" t="s">
        <v>0</v>
      </c>
      <c r="J28" t="s">
        <v>0</v>
      </c>
      <c r="K28" t="s">
        <v>0</v>
      </c>
      <c r="L28" t="s">
        <v>0</v>
      </c>
      <c r="M28" t="b">
        <f t="shared" si="0"/>
        <v>1</v>
      </c>
    </row>
    <row r="29" spans="1:13">
      <c r="A29" s="7" t="s">
        <v>113</v>
      </c>
      <c r="B29" s="1" t="s">
        <v>118</v>
      </c>
      <c r="C29" s="9" t="s">
        <v>188</v>
      </c>
      <c r="D29" s="1" t="s">
        <v>16</v>
      </c>
      <c r="E29" s="1"/>
      <c r="F29" s="1" t="s">
        <v>167</v>
      </c>
      <c r="G29" s="1" t="s">
        <v>16</v>
      </c>
      <c r="H29" t="s">
        <v>0</v>
      </c>
      <c r="I29" t="s">
        <v>0</v>
      </c>
      <c r="J29" t="s">
        <v>0</v>
      </c>
      <c r="K29" t="s">
        <v>0</v>
      </c>
      <c r="L29" t="s">
        <v>0</v>
      </c>
      <c r="M29" t="b">
        <f t="shared" si="0"/>
        <v>1</v>
      </c>
    </row>
    <row r="30" spans="1:13">
      <c r="A30" s="7" t="s">
        <v>113</v>
      </c>
      <c r="B30" s="1" t="s">
        <v>119</v>
      </c>
      <c r="C30" s="9" t="s">
        <v>189</v>
      </c>
      <c r="D30" s="1" t="s">
        <v>16</v>
      </c>
      <c r="E30" s="1"/>
      <c r="F30" s="1" t="s">
        <v>168</v>
      </c>
      <c r="G30" s="1"/>
      <c r="L30" t="s">
        <v>0</v>
      </c>
      <c r="M30" t="b">
        <f t="shared" si="0"/>
        <v>0</v>
      </c>
    </row>
    <row r="31" spans="1:13" ht="28.8">
      <c r="A31" s="7" t="s">
        <v>113</v>
      </c>
      <c r="B31" s="1" t="s">
        <v>120</v>
      </c>
      <c r="C31" s="1">
        <v>45</v>
      </c>
      <c r="D31" s="1" t="s">
        <v>16</v>
      </c>
      <c r="E31" s="1"/>
      <c r="F31" s="1">
        <v>48</v>
      </c>
      <c r="G31" s="1" t="s">
        <v>16</v>
      </c>
      <c r="H31" t="s">
        <v>0</v>
      </c>
      <c r="M31" t="b">
        <f t="shared" si="0"/>
        <v>0</v>
      </c>
    </row>
    <row r="32" spans="1:13">
      <c r="A32" t="s">
        <v>113</v>
      </c>
      <c r="B32" s="1" t="s">
        <v>121</v>
      </c>
      <c r="C32" s="1"/>
      <c r="D32" s="1"/>
      <c r="E32" s="1"/>
      <c r="F32" s="1"/>
      <c r="G32" s="1"/>
      <c r="I32" t="s">
        <v>0</v>
      </c>
      <c r="K32" t="s">
        <v>0</v>
      </c>
      <c r="M32" t="b">
        <f t="shared" si="0"/>
        <v>1</v>
      </c>
    </row>
    <row r="33" spans="1:13">
      <c r="A33" t="s">
        <v>122</v>
      </c>
      <c r="B33" s="1" t="s">
        <v>123</v>
      </c>
      <c r="C33" s="1">
        <v>23</v>
      </c>
      <c r="D33" s="1" t="s">
        <v>16</v>
      </c>
      <c r="E33" s="1"/>
      <c r="F33" s="1">
        <v>18</v>
      </c>
      <c r="G33" s="1" t="s">
        <v>16</v>
      </c>
      <c r="I33" t="s">
        <v>0</v>
      </c>
      <c r="K33" t="s">
        <v>0</v>
      </c>
      <c r="M33" t="b">
        <f t="shared" si="0"/>
        <v>1</v>
      </c>
    </row>
    <row r="34" spans="1:13">
      <c r="A34" t="s">
        <v>122</v>
      </c>
      <c r="B34" s="1" t="s">
        <v>124</v>
      </c>
      <c r="C34" s="1">
        <v>25</v>
      </c>
      <c r="D34" s="1" t="s">
        <v>16</v>
      </c>
      <c r="E34" s="1"/>
      <c r="F34" s="1">
        <v>25</v>
      </c>
      <c r="G34" s="1" t="s">
        <v>16</v>
      </c>
      <c r="I34" t="s">
        <v>0</v>
      </c>
      <c r="L34" t="s">
        <v>0</v>
      </c>
      <c r="M34" t="b">
        <f t="shared" si="0"/>
        <v>1</v>
      </c>
    </row>
    <row r="35" spans="1:13">
      <c r="A35" t="s">
        <v>122</v>
      </c>
      <c r="B35" s="1" t="s">
        <v>125</v>
      </c>
      <c r="C35" s="1" t="s">
        <v>190</v>
      </c>
      <c r="D35" s="1" t="s">
        <v>16</v>
      </c>
      <c r="E35" s="1"/>
      <c r="F35" s="1"/>
      <c r="G35" s="1"/>
      <c r="H35" t="s">
        <v>0</v>
      </c>
      <c r="I35" t="s">
        <v>0</v>
      </c>
      <c r="J35" t="s">
        <v>0</v>
      </c>
      <c r="K35" t="s">
        <v>0</v>
      </c>
      <c r="M35" t="b">
        <f t="shared" si="0"/>
        <v>1</v>
      </c>
    </row>
    <row r="36" spans="1:13">
      <c r="A36" t="s">
        <v>126</v>
      </c>
      <c r="B36" s="1" t="s">
        <v>127</v>
      </c>
      <c r="C36" s="1">
        <v>60</v>
      </c>
      <c r="D36" s="1" t="s">
        <v>16</v>
      </c>
      <c r="E36" s="1"/>
      <c r="F36" s="1">
        <v>48</v>
      </c>
      <c r="G36" s="1" t="s">
        <v>16</v>
      </c>
      <c r="H36" t="s">
        <v>0</v>
      </c>
      <c r="L36" t="s">
        <v>0</v>
      </c>
      <c r="M36" t="b">
        <f t="shared" si="0"/>
        <v>1</v>
      </c>
    </row>
    <row r="37" spans="1:13">
      <c r="A37" t="s">
        <v>126</v>
      </c>
      <c r="B37" s="1" t="s">
        <v>128</v>
      </c>
      <c r="C37" s="1">
        <v>58</v>
      </c>
      <c r="D37" s="1" t="s">
        <v>16</v>
      </c>
      <c r="E37" s="1"/>
      <c r="F37" s="1">
        <v>40</v>
      </c>
      <c r="G37" s="1" t="s">
        <v>16</v>
      </c>
      <c r="H37" t="s">
        <v>0</v>
      </c>
      <c r="L37" t="s">
        <v>0</v>
      </c>
      <c r="M37" t="b">
        <f t="shared" si="0"/>
        <v>1</v>
      </c>
    </row>
    <row r="38" spans="1:13">
      <c r="A38" t="s">
        <v>126</v>
      </c>
      <c r="B38" s="1" t="s">
        <v>129</v>
      </c>
      <c r="C38" s="1">
        <v>59</v>
      </c>
      <c r="D38" s="1" t="s">
        <v>16</v>
      </c>
      <c r="E38" s="1"/>
      <c r="F38" s="1">
        <v>38</v>
      </c>
      <c r="G38" s="1" t="s">
        <v>16</v>
      </c>
      <c r="H38" t="s">
        <v>0</v>
      </c>
      <c r="J38" t="s">
        <v>0</v>
      </c>
      <c r="L38" t="s">
        <v>0</v>
      </c>
      <c r="M38" t="b">
        <f t="shared" si="0"/>
        <v>1</v>
      </c>
    </row>
    <row r="39" spans="1:13">
      <c r="A39" t="s">
        <v>126</v>
      </c>
      <c r="B39" s="1" t="s">
        <v>130</v>
      </c>
      <c r="C39" s="1">
        <v>10</v>
      </c>
      <c r="D39" s="1" t="s">
        <v>16</v>
      </c>
      <c r="E39" s="1"/>
      <c r="F39" s="1">
        <v>39</v>
      </c>
      <c r="G39" s="1" t="s">
        <v>16</v>
      </c>
      <c r="H39" t="s">
        <v>0</v>
      </c>
      <c r="J39" t="s">
        <v>0</v>
      </c>
      <c r="K39" t="s">
        <v>0</v>
      </c>
      <c r="L39" t="s">
        <v>0</v>
      </c>
      <c r="M39" t="b">
        <f t="shared" si="0"/>
        <v>1</v>
      </c>
    </row>
    <row r="40" spans="1:13">
      <c r="A40" t="s">
        <v>126</v>
      </c>
      <c r="B40" s="1" t="s">
        <v>131</v>
      </c>
      <c r="C40" s="1" t="s">
        <v>183</v>
      </c>
      <c r="D40" s="1" t="s">
        <v>16</v>
      </c>
      <c r="E40" s="1"/>
      <c r="F40" s="1" t="s">
        <v>166</v>
      </c>
      <c r="G40" s="1" t="s">
        <v>16</v>
      </c>
      <c r="L40" t="s">
        <v>0</v>
      </c>
      <c r="M40" t="b">
        <f t="shared" si="0"/>
        <v>0</v>
      </c>
    </row>
    <row r="41" spans="1:13">
      <c r="A41" t="s">
        <v>126</v>
      </c>
      <c r="B41" s="1" t="s">
        <v>132</v>
      </c>
      <c r="C41" s="1">
        <v>9</v>
      </c>
      <c r="D41" s="1" t="s">
        <v>16</v>
      </c>
      <c r="E41" s="1"/>
      <c r="F41" s="1">
        <v>44</v>
      </c>
      <c r="G41" s="1" t="s">
        <v>16</v>
      </c>
      <c r="J41" t="s">
        <v>0</v>
      </c>
      <c r="M41" t="b">
        <f t="shared" si="0"/>
        <v>0</v>
      </c>
    </row>
  </sheetData>
  <phoneticPr fontId="1"/>
  <conditionalFormatting sqref="A15:L41 A3:B14 E3:L14">
    <cfRule type="expression" dxfId="3" priority="3">
      <formula>$M2=1</formula>
    </cfRule>
  </conditionalFormatting>
  <conditionalFormatting sqref="A2:B2 E2:L2">
    <cfRule type="expression" dxfId="2" priority="6">
      <formula>#REF!=1</formula>
    </cfRule>
  </conditionalFormatting>
  <conditionalFormatting sqref="C2:D2 D3:D14">
    <cfRule type="expression" dxfId="1" priority="2">
      <formula>#REF!=1</formula>
    </cfRule>
  </conditionalFormatting>
  <conditionalFormatting sqref="C3:C14">
    <cfRule type="expression" dxfId="0" priority="1">
      <formula>$M2=1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5"/>
  <sheetViews>
    <sheetView workbookViewId="0">
      <selection activeCell="E13" sqref="E13"/>
    </sheetView>
  </sheetViews>
  <sheetFormatPr defaultRowHeight="14.4"/>
  <cols>
    <col min="1" max="1" width="25.33203125" customWidth="1"/>
  </cols>
  <sheetData>
    <row r="1" spans="1:6"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 t="s">
        <v>6</v>
      </c>
      <c r="B2">
        <v>65</v>
      </c>
      <c r="C2">
        <v>25</v>
      </c>
      <c r="D2">
        <v>69</v>
      </c>
      <c r="E2">
        <v>82</v>
      </c>
      <c r="F2">
        <f>AVERAGE(B2:E2)</f>
        <v>60.25</v>
      </c>
    </row>
    <row r="3" spans="1:6">
      <c r="A3" t="s">
        <v>7</v>
      </c>
      <c r="B3">
        <v>37</v>
      </c>
      <c r="C3">
        <v>68</v>
      </c>
      <c r="D3">
        <v>41</v>
      </c>
      <c r="E3">
        <v>107</v>
      </c>
      <c r="F3">
        <f t="shared" ref="F3:F4" si="0">AVERAGE(B3:E3)</f>
        <v>63.25</v>
      </c>
    </row>
    <row r="4" spans="1:6">
      <c r="A4" t="s">
        <v>8</v>
      </c>
      <c r="B4">
        <v>88</v>
      </c>
      <c r="C4">
        <v>65</v>
      </c>
      <c r="D4">
        <v>33</v>
      </c>
      <c r="E4">
        <v>111</v>
      </c>
      <c r="F4">
        <f t="shared" si="0"/>
        <v>74.25</v>
      </c>
    </row>
    <row r="5" spans="1:6">
      <c r="A5" t="s">
        <v>133</v>
      </c>
      <c r="B5">
        <f>SUM(B2:B4)</f>
        <v>190</v>
      </c>
      <c r="C5">
        <f t="shared" ref="C5:E5" si="1">SUM(C2:C4)</f>
        <v>158</v>
      </c>
      <c r="D5">
        <f t="shared" si="1"/>
        <v>143</v>
      </c>
      <c r="E5">
        <f t="shared" si="1"/>
        <v>300</v>
      </c>
      <c r="F5">
        <f>SUM(F2:F4)</f>
        <v>197.75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Password strength checker</vt:lpstr>
      <vt:lpstr>Unit converter</vt:lpstr>
      <vt:lpstr>Budget planner</vt:lpstr>
      <vt:lpstr>minutes for manual test design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切貫弘之</dc:creator>
  <cp:lastModifiedBy>Phước Vinh Đặng</cp:lastModifiedBy>
  <cp:lastPrinted>2023-09-14T08:30:30Z</cp:lastPrinted>
  <dcterms:created xsi:type="dcterms:W3CDTF">2023-09-14T08:24:54Z</dcterms:created>
  <dcterms:modified xsi:type="dcterms:W3CDTF">2026-06-18T04:34:28Z</dcterms:modified>
</cp:coreProperties>
</file>